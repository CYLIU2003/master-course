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01_重要文書フォルダ（保存期間１年以上）\04_燃費班\24_HP公表（燃費評価、低排認定）、その他報告関係\2-1_燃費公表\R8\２月\"/>
    </mc:Choice>
  </mc:AlternateContent>
  <xr:revisionPtr revIDLastSave="0" documentId="8_{D1EF3AD5-35EA-4A5F-B899-14CA40E901C1}" xr6:coauthVersionLast="47" xr6:coauthVersionMax="47" xr10:uidLastSave="{00000000-0000-0000-0000-000000000000}"/>
  <bookViews>
    <workbookView xWindow="-28920" yWindow="0" windowWidth="29040" windowHeight="15720" xr2:uid="{5B019C86-B51D-4EE9-A7BE-67E7117C6885}"/>
  </bookViews>
  <sheets>
    <sheet name="3-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PRJ別負荷予測" localSheetId="0" hidden="1">#REF!</definedName>
    <definedName name="__123Graph_APRJ別負荷予測" hidden="1">#REF!</definedName>
    <definedName name="__123Graph_Aλ" localSheetId="0" hidden="1">[2]諸元まとめ!#REF!</definedName>
    <definedName name="__123Graph_Aλ" hidden="1">[2]諸元まとめ!#REF!</definedName>
    <definedName name="__123Graph_A燃費" localSheetId="0" hidden="1">[2]諸元まとめ!#REF!</definedName>
    <definedName name="__123Graph_A燃費" hidden="1">[2]諸元まとめ!#REF!</definedName>
    <definedName name="__123Graph_BPRJ別負荷予測" localSheetId="0" hidden="1">#REF!</definedName>
    <definedName name="__123Graph_BPRJ別負荷予測" hidden="1">#REF!</definedName>
    <definedName name="__123Graph_CPRJ別負荷予測" localSheetId="0" hidden="1">#REF!</definedName>
    <definedName name="__123Graph_CPRJ別負荷予測" hidden="1">#REF!</definedName>
    <definedName name="__123Graph_Cﾎﾞｱ×ｽﾄﾛｰｸ" localSheetId="0" hidden="1">[2]諸元まとめ!#REF!</definedName>
    <definedName name="__123Graph_Cﾎﾞｱ×ｽﾄﾛｰｸ" hidden="1">[2]諸元まとめ!#REF!</definedName>
    <definedName name="__123Graph_DPRJ別負荷予測" localSheetId="0" hidden="1">#REF!</definedName>
    <definedName name="__123Graph_DPRJ別負荷予測" hidden="1">#REF!</definedName>
    <definedName name="__123Graph_E" localSheetId="0" hidden="1">[2]諸元まとめ!#REF!</definedName>
    <definedName name="__123Graph_E" hidden="1">[2]諸元まとめ!#REF!</definedName>
    <definedName name="__123Graph_EPMEﾄﾙｸ" localSheetId="0" hidden="1">[2]諸元まとめ!#REF!</definedName>
    <definedName name="__123Graph_EPMEﾄﾙｸ" hidden="1">[2]諸元まとめ!#REF!</definedName>
    <definedName name="__123Graph_EPME出力" localSheetId="0" hidden="1">[2]諸元まとめ!#REF!</definedName>
    <definedName name="__123Graph_EPME出力" hidden="1">[2]諸元まとめ!#REF!</definedName>
    <definedName name="__123Graph_EPRJ別負荷予測" localSheetId="0" hidden="1">#REF!</definedName>
    <definedName name="__123Graph_EPRJ別負荷予測" hidden="1">#REF!</definedName>
    <definedName name="__123Graph_Eλ" localSheetId="0" hidden="1">[2]諸元まとめ!#REF!</definedName>
    <definedName name="__123Graph_Eλ" hidden="1">[2]諸元まとめ!#REF!</definedName>
    <definedName name="__123Graph_EｸﾗﾝｸJP径" localSheetId="0" hidden="1">[2]諸元まとめ!#REF!</definedName>
    <definedName name="__123Graph_EｸﾗﾝｸJP径" hidden="1">[2]諸元まとめ!#REF!</definedName>
    <definedName name="__123Graph_EトルクTI" localSheetId="0" hidden="1">[2]諸元まとめ!#REF!</definedName>
    <definedName name="__123Graph_EトルクTI" hidden="1">[2]諸元まとめ!#REF!</definedName>
    <definedName name="__123Graph_Eﾋﾟｽﾄﾝｽﾋﾟｰﾄﾞ" localSheetId="0" hidden="1">[2]諸元まとめ!#REF!</definedName>
    <definedName name="__123Graph_Eﾋﾟｽﾄﾝｽﾋﾟｰﾄﾞ" hidden="1">[2]諸元まとめ!#REF!</definedName>
    <definedName name="__123Graph_Eﾎﾞｱ×ｽﾄﾛｰｸ" hidden="1">[2]諸元まとめ!#REF!</definedName>
    <definedName name="__123Graph_E出力TI" hidden="1">[2]諸元まとめ!#REF!</definedName>
    <definedName name="__123Graph_E燃費" hidden="1">[2]諸元まとめ!#REF!</definedName>
    <definedName name="__123Graph_F" hidden="1">[2]諸元まとめ!#REF!</definedName>
    <definedName name="__123Graph_FPMEﾄﾙｸ" hidden="1">[2]諸元まとめ!#REF!</definedName>
    <definedName name="__123Graph_FPME出力" hidden="1">[2]諸元まとめ!#REF!</definedName>
    <definedName name="__123Graph_FトルクTI" hidden="1">[2]諸元まとめ!#REF!</definedName>
    <definedName name="__123Graph_Fﾋﾟｽﾄﾝｽﾋﾟｰﾄﾞ" hidden="1">[2]諸元まとめ!#REF!</definedName>
    <definedName name="__123Graph_Fﾎﾞｱ×ｽﾄﾛｰｸ" hidden="1">[2]諸元まとめ!#REF!</definedName>
    <definedName name="__123Graph_F出力TI" hidden="1">[2]諸元まとめ!#REF!</definedName>
    <definedName name="__123Graph_XPRJ別負荷予測" hidden="1">#REF!</definedName>
    <definedName name="_100__123Graph_Bｸﾞﾗﾌ_3" hidden="1">#REF!</definedName>
    <definedName name="_103__123Graph_Bｸﾞﾗﾌ_30" hidden="1">#REF!</definedName>
    <definedName name="_106__123Graph_Bｸﾞﾗﾌ_31" hidden="1">#REF!</definedName>
    <definedName name="_109__123Graph_Bｸﾞﾗﾌ_4" hidden="1">[3]バス!$C$6:$C$47</definedName>
    <definedName name="_112__123Graph_Bｸﾞﾗﾌ_5" hidden="1">[3]バス!$CY$20:$CY$46</definedName>
    <definedName name="_115__123Graph_Bｸﾞﾗﾌ_6" hidden="1">[3]バス!$DC$37:$EC$37</definedName>
    <definedName name="_118__123Graph_Bｸﾞﾗﾌ_7" hidden="1">#REF!</definedName>
    <definedName name="_12__123Graph_Aｸﾞﾗﾌ_12" hidden="1">#REF!</definedName>
    <definedName name="_121__123Graph_Bｸﾞﾗﾌ_8" hidden="1">#REF!</definedName>
    <definedName name="_123GRAGP" hidden="1">#REF!</definedName>
    <definedName name="_123GRAPH" hidden="1">[4]バス!$DC$38:$EC$38</definedName>
    <definedName name="_124__123Graph_Bｸﾞﾗﾌ_9" hidden="1">#REF!</definedName>
    <definedName name="_127__123Graph_Cｸﾞﾗﾌ_1" hidden="1">#REF!</definedName>
    <definedName name="_130__123Graph_Cｸﾞﾗﾌ_10" hidden="1">#REF!</definedName>
    <definedName name="_133__123Graph_Cｸﾞﾗﾌ_11" hidden="1">#REF!</definedName>
    <definedName name="_136__123Graph_Cｸﾞﾗﾌ_12" hidden="1">#REF!</definedName>
    <definedName name="_139__123Graph_Cｸﾞﾗﾌ_13" hidden="1">#REF!</definedName>
    <definedName name="_142__123Graph_Cｸﾞﾗﾌ_14" hidden="1">#REF!</definedName>
    <definedName name="_143__123Graph_Cｸﾞﾗﾌ_15" hidden="1">#REF!</definedName>
    <definedName name="_144__123Graph_Cｸﾞﾗﾌ_16" hidden="1">#REF!</definedName>
    <definedName name="_145__123Graph_Cｸﾞﾗﾌ_17" hidden="1">#REF!</definedName>
    <definedName name="_146__123Graph_Cｸﾞﾗﾌ_18" hidden="1">#REF!</definedName>
    <definedName name="_147__123Graph_Cｸﾞﾗﾌ_19" hidden="1">#REF!</definedName>
    <definedName name="_15__123Graph_Aｸﾞﾗﾌ_13" hidden="1">#REF!</definedName>
    <definedName name="_150__123Graph_Cｸﾞﾗﾌ_2" hidden="1">#REF!</definedName>
    <definedName name="_151__123Graph_Cｸﾞﾗﾌ_20" hidden="1">#REF!</definedName>
    <definedName name="_152__123Graph_Cｸﾞﾗﾌ_21" hidden="1">#REF!</definedName>
    <definedName name="_153__123Graph_Cｸﾞﾗﾌ_22" hidden="1">#REF!</definedName>
    <definedName name="_154__123Graph_Cｸﾞﾗﾌ_24" hidden="1">#REF!</definedName>
    <definedName name="_155__123Graph_Cｸﾞﾗﾌ_25" hidden="1">#REF!</definedName>
    <definedName name="_158__123Graph_Cｸﾞﾗﾌ_26" hidden="1">#REF!</definedName>
    <definedName name="_159__123Graph_Cｸﾞﾗﾌ_27" hidden="1">#REF!</definedName>
    <definedName name="_162__123Graph_Cｸﾞﾗﾌ_3" localSheetId="0" hidden="1">#REF!</definedName>
    <definedName name="_162__123Graph_Cｸﾞﾗﾌ_3" hidden="1">#REF!</definedName>
    <definedName name="_165__123Graph_Cｸﾞﾗﾌ_4" hidden="1">[3]バス!$C$66:$C$107</definedName>
    <definedName name="_168__123Graph_Cｸﾞﾗﾌ_5" hidden="1">[3]バス!$CZ$20:$CZ$46</definedName>
    <definedName name="_171__123Graph_Cｸﾞﾗﾌ_6" hidden="1">[3]バス!$DC$38:$EC$38</definedName>
    <definedName name="_174__123Graph_Cｸﾞﾗﾌ_7" hidden="1">#REF!</definedName>
    <definedName name="_177__123Graph_Cｸﾞﾗﾌ_8" hidden="1">#REF!</definedName>
    <definedName name="_18__123Graph_Aｸﾞﾗﾌ_14" hidden="1">#REF!</definedName>
    <definedName name="_180__123Graph_Cｸﾞﾗﾌ_9" hidden="1">#REF!</definedName>
    <definedName name="_185__123Graph_Cﾎﾞｱ_ｺﾝﾌﾟﾊｲﾄ" hidden="1">[2]諸元まとめ!#REF!</definedName>
    <definedName name="_188__123Graph_Dｸﾞﾗﾌ_1" hidden="1">#REF!</definedName>
    <definedName name="_19__123Graph_Aｸﾞﾗﾌ_15" hidden="1">#REF!</definedName>
    <definedName name="_191__123Graph_Dｸﾞﾗﾌ_10" hidden="1">#REF!</definedName>
    <definedName name="_194__123Graph_Dｸﾞﾗﾌ_11" hidden="1">#REF!</definedName>
    <definedName name="_197__123Graph_Dｸﾞﾗﾌ_12" hidden="1">#REF!</definedName>
    <definedName name="_20__123Graph_Aｸﾞﾗﾌ_16" hidden="1">#REF!</definedName>
    <definedName name="_200__123Graph_Dｸﾞﾗﾌ_13" hidden="1">#REF!</definedName>
    <definedName name="_203__123Graph_Dｸﾞﾗﾌ_14" hidden="1">#REF!</definedName>
    <definedName name="_204__123Graph_Dｸﾞﾗﾌ_15" hidden="1">#REF!</definedName>
    <definedName name="_205__123Graph_Dｸﾞﾗﾌ_16" hidden="1">#REF!</definedName>
    <definedName name="_206__123Graph_Dｸﾞﾗﾌ_17" hidden="1">#REF!</definedName>
    <definedName name="_207__123Graph_Dｸﾞﾗﾌ_18" hidden="1">#REF!</definedName>
    <definedName name="_208__123Graph_Dｸﾞﾗﾌ_19" hidden="1">#REF!</definedName>
    <definedName name="_21__123Graph_Aｸﾞﾗﾌ_17" hidden="1">#REF!</definedName>
    <definedName name="_211__123Graph_Dｸﾞﾗﾌ_2" hidden="1">#REF!</definedName>
    <definedName name="_212__123Graph_Dｸﾞﾗﾌ_20" hidden="1">#REF!</definedName>
    <definedName name="_213__123Graph_Dｸﾞﾗﾌ_21" hidden="1">#REF!</definedName>
    <definedName name="_214__123Graph_Dｸﾞﾗﾌ_22" hidden="1">#REF!</definedName>
    <definedName name="_215__123Graph_Dｸﾞﾗﾌ_24" hidden="1">#REF!</definedName>
    <definedName name="_216__123Graph_Dｸﾞﾗﾌ_25" hidden="1">#REF!</definedName>
    <definedName name="_219__123Graph_Dｸﾞﾗﾌ_26" hidden="1">#REF!</definedName>
    <definedName name="_22__123Graph_Aｸﾞﾗﾌ_18" hidden="1">#REF!</definedName>
    <definedName name="_220__123Graph_Dｸﾞﾗﾌ_27" hidden="1">#REF!</definedName>
    <definedName name="_223__123Graph_Dｸﾞﾗﾌ_3" hidden="1">#REF!</definedName>
    <definedName name="_226__123Graph_Dｸﾞﾗﾌ_4" hidden="1">[3]バス!$C$186:$C$227</definedName>
    <definedName name="_229__123Graph_Dｸﾞﾗﾌ_5" hidden="1">[3]バス!$DA$20:$DA$46</definedName>
    <definedName name="_23__123Graph_Aｸﾞﾗﾌ_19" hidden="1">#REF!</definedName>
    <definedName name="_230__123Graph_Dｸﾞﾗﾌ_6" hidden="1">#REF!</definedName>
    <definedName name="_233__123Graph_Dｸﾞﾗﾌ_7" hidden="1">#REF!</definedName>
    <definedName name="_234__123Graph_Dｸﾞﾗﾌ_8" hidden="1">#REF!</definedName>
    <definedName name="_237__123Graph_Dｸﾞﾗﾌ_9" hidden="1">#REF!</definedName>
    <definedName name="_240__123Graph_Eｸﾞﾗﾌ_1" hidden="1">#REF!</definedName>
    <definedName name="_243__123Graph_Eｸﾞﾗﾌ_10" hidden="1">#REF!</definedName>
    <definedName name="_246__123Graph_Eｸﾞﾗﾌ_11" hidden="1">#REF!</definedName>
    <definedName name="_249__123Graph_Eｸﾞﾗﾌ_12" hidden="1">#REF!</definedName>
    <definedName name="_252__123Graph_Eｸﾞﾗﾌ_13" hidden="1">#REF!</definedName>
    <definedName name="_255__123Graph_Eｸﾞﾗﾌ_14" hidden="1">#REF!</definedName>
    <definedName name="_256__123Graph_Eｸﾞﾗﾌ_15" hidden="1">#REF!</definedName>
    <definedName name="_257__123Graph_Eｸﾞﾗﾌ_16" hidden="1">#REF!</definedName>
    <definedName name="_258__123Graph_Eｸﾞﾗﾌ_17" hidden="1">#REF!</definedName>
    <definedName name="_259__123Graph_Eｸﾞﾗﾌ_18" hidden="1">#REF!</definedName>
    <definedName name="_26__123Graph_Aｸﾞﾗﾌ_2" hidden="1">#REF!</definedName>
    <definedName name="_260__123Graph_Eｸﾞﾗﾌ_19" hidden="1">#REF!</definedName>
    <definedName name="_263__123Graph_Eｸﾞﾗﾌ_2" hidden="1">#REF!</definedName>
    <definedName name="_264__123Graph_Eｸﾞﾗﾌ_20" hidden="1">#REF!</definedName>
    <definedName name="_265__123Graph_Eｸﾞﾗﾌ_21" hidden="1">#REF!</definedName>
    <definedName name="_266__123Graph_Eｸﾞﾗﾌ_22" hidden="1">#REF!</definedName>
    <definedName name="_267__123Graph_Eｸﾞﾗﾌ_24" hidden="1">#REF!</definedName>
    <definedName name="_268__123Graph_Eｸﾞﾗﾌ_25" hidden="1">#REF!</definedName>
    <definedName name="_27__123Graph_Aｸﾞﾗﾌ_20" hidden="1">#REF!</definedName>
    <definedName name="_271__123Graph_Eｸﾞﾗﾌ_26" hidden="1">#REF!</definedName>
    <definedName name="_272__123Graph_Eｸﾞﾗﾌ_27" hidden="1">#REF!</definedName>
    <definedName name="_275__123Graph_Eｸﾞﾗﾌ_3" hidden="1">#REF!</definedName>
    <definedName name="_278__123Graph_Eｸﾞﾗﾌ_4" hidden="1">#REF!</definedName>
    <definedName name="_28__123Graph_Aｸﾞﾗﾌ_21" hidden="1">#REF!</definedName>
    <definedName name="_281__123Graph_Eｸﾞﾗﾌ_5" hidden="1">#REF!</definedName>
    <definedName name="_284__123Graph_Eｸﾞﾗﾌ_6" hidden="1">#REF!</definedName>
    <definedName name="_287__123Graph_Eｸﾞﾗﾌ_7" hidden="1">#REF!</definedName>
    <definedName name="_288__123Graph_Eｸﾞﾗﾌ_8" hidden="1">#REF!</definedName>
    <definedName name="_29__123Graph_Aｸﾞﾗﾌ_22" hidden="1">#REF!</definedName>
    <definedName name="_291__123Graph_Eｸﾞﾗﾌ_9" hidden="1">#REF!</definedName>
    <definedName name="_296__123Graph_Eｽﾄﾛｰｸ_ｺﾝﾛｯﾄﾞ長" hidden="1">[2]諸元まとめ!#REF!</definedName>
    <definedName name="_3__123Graph_Aｸﾞﾗﾌ_1" hidden="1">#REF!</definedName>
    <definedName name="_30__123Graph_Aｸﾞﾗﾌ_24" hidden="1">#REF!</definedName>
    <definedName name="_301__123Graph_Eﾎﾞｱ_ｺﾝﾌﾟﾊｲﾄ" hidden="1">[2]諸元まとめ!#REF!</definedName>
    <definedName name="_304__123Graph_Fｸﾞﾗﾌ_1" hidden="1">#REF!</definedName>
    <definedName name="_307__123Graph_Fｸﾞﾗﾌ_10" hidden="1">#REF!</definedName>
    <definedName name="_31__123Graph_Aｸﾞﾗﾌ_25" hidden="1">#REF!</definedName>
    <definedName name="_310__123Graph_Fｸﾞﾗﾌ_11" hidden="1">#REF!</definedName>
    <definedName name="_313__123Graph_Fｸﾞﾗﾌ_12" hidden="1">#REF!</definedName>
    <definedName name="_316__123Graph_Fｸﾞﾗﾌ_13" hidden="1">#REF!</definedName>
    <definedName name="_319__123Graph_Fｸﾞﾗﾌ_14" hidden="1">#REF!</definedName>
    <definedName name="_320__123Graph_Fｸﾞﾗﾌ_15" hidden="1">#REF!</definedName>
    <definedName name="_321__123Graph_Fｸﾞﾗﾌ_16" hidden="1">#REF!</definedName>
    <definedName name="_322__123Graph_Fｸﾞﾗﾌ_17" hidden="1">#REF!</definedName>
    <definedName name="_323__123Graph_Fｸﾞﾗﾌ_18" hidden="1">#REF!</definedName>
    <definedName name="_324__123Graph_Fｸﾞﾗﾌ_19" hidden="1">#REF!</definedName>
    <definedName name="_327__123Graph_Fｸﾞﾗﾌ_2" hidden="1">#REF!</definedName>
    <definedName name="_328__123Graph_Fｸﾞﾗﾌ_20" hidden="1">#REF!</definedName>
    <definedName name="_329__123Graph_Fｸﾞﾗﾌ_21" hidden="1">#REF!</definedName>
    <definedName name="_330__123Graph_Fｸﾞﾗﾌ_22" hidden="1">#REF!</definedName>
    <definedName name="_331__123Graph_Fｸﾞﾗﾌ_24" hidden="1">#REF!</definedName>
    <definedName name="_332__123Graph_Fｸﾞﾗﾌ_25" hidden="1">#REF!</definedName>
    <definedName name="_335__123Graph_Fｸﾞﾗﾌ_26" hidden="1">#REF!</definedName>
    <definedName name="_336__123Graph_Fｸﾞﾗﾌ_27" hidden="1">#REF!</definedName>
    <definedName name="_339__123Graph_Fｸﾞﾗﾌ_3" hidden="1">#REF!</definedName>
    <definedName name="_34__123Graph_Aｸﾞﾗﾌ_26" hidden="1">#REF!</definedName>
    <definedName name="_342__123Graph_Fｸﾞﾗﾌ_4" hidden="1">#REF!</definedName>
    <definedName name="_345__123Graph_Fｸﾞﾗﾌ_5" hidden="1">#REF!</definedName>
    <definedName name="_346__123Graph_Fｸﾞﾗﾌ_6" hidden="1">#REF!</definedName>
    <definedName name="_347__123Graph_Fｸﾞﾗﾌ_7" hidden="1">#REF!</definedName>
    <definedName name="_348__123Graph_Fｸﾞﾗﾌ_8" hidden="1">#REF!</definedName>
    <definedName name="_35__123Graph_Aｸﾞﾗﾌ_27" hidden="1">#REF!</definedName>
    <definedName name="_351__123Graph_Fｸﾞﾗﾌ_9" hidden="1">#REF!</definedName>
    <definedName name="_356__123Graph_Fﾎﾞｱ_ｺﾝﾌﾟﾊｲﾄ" hidden="1">[2]諸元まとめ!#REF!</definedName>
    <definedName name="_359__123Graph_LBL_Aｸﾞﾗﾌ_7" hidden="1">#REF!</definedName>
    <definedName name="_362__123Graph_LBL_Aｸﾞﾗﾌ_8" hidden="1">#REF!</definedName>
    <definedName name="_365__123Graph_LBL_Bｸﾞﾗﾌ_7" hidden="1">#REF!</definedName>
    <definedName name="_368__123Graph_LBL_Bｸﾞﾗﾌ_8" hidden="1">#REF!</definedName>
    <definedName name="_371__123Graph_LBL_Cｸﾞﾗﾌ_3" hidden="1">#REF!</definedName>
    <definedName name="_374__123Graph_LBL_Cｸﾞﾗﾌ_7" hidden="1">#REF!</definedName>
    <definedName name="_377__123Graph_LBL_Cｸﾞﾗﾌ_8" hidden="1">#REF!</definedName>
    <definedName name="_38__123Graph_Aｸﾞﾗﾌ_3" hidden="1">#REF!</definedName>
    <definedName name="_380__123Graph_LBL_Dｸﾞﾗﾌ_3" hidden="1">#REF!</definedName>
    <definedName name="_383__123Graph_LBL_Dｸﾞﾗﾌ_7" hidden="1">#REF!</definedName>
    <definedName name="_386__123Graph_LBL_Eｸﾞﾗﾌ_3" hidden="1">#REF!</definedName>
    <definedName name="_389__123Graph_LBL_Eｸﾞﾗﾌ_7" hidden="1">#REF!</definedName>
    <definedName name="_392__123Graph_LBL_Fｸﾞﾗﾌ_3" hidden="1">#REF!</definedName>
    <definedName name="_395__123Graph_Xｸﾞﾗﾌ_1" hidden="1">#REF!</definedName>
    <definedName name="_396__123Graph_Xｸﾞﾗﾌ_10" hidden="1">#REF!</definedName>
    <definedName name="_397__123Graph_Xｸﾞﾗﾌ_11" hidden="1">#REF!</definedName>
    <definedName name="_400__123Graph_Xｸﾞﾗﾌ_12" hidden="1">#REF!</definedName>
    <definedName name="_403__123Graph_Xｸﾞﾗﾌ_13" hidden="1">#REF!</definedName>
    <definedName name="_406__123Graph_Xｸﾞﾗﾌ_14" hidden="1">#REF!</definedName>
    <definedName name="_407__123Graph_Xｸﾞﾗﾌ_15" hidden="1">#REF!</definedName>
    <definedName name="_408__123Graph_Xｸﾞﾗﾌ_16" hidden="1">#REF!</definedName>
    <definedName name="_409__123Graph_Xｸﾞﾗﾌ_17" hidden="1">#REF!</definedName>
    <definedName name="_41__123Graph_Aｸﾞﾗﾌ_30" hidden="1">#REF!</definedName>
    <definedName name="_410__123Graph_Xｸﾞﾗﾌ_18" hidden="1">#REF!</definedName>
    <definedName name="_411__123Graph_Xｸﾞﾗﾌ_19" hidden="1">#REF!</definedName>
    <definedName name="_414__123Graph_Xｸﾞﾗﾌ_2" localSheetId="0" hidden="1">#REF!</definedName>
    <definedName name="_414__123Graph_Xｸﾞﾗﾌ_2" hidden="1">#REF!</definedName>
    <definedName name="_415__123Graph_Xｸﾞﾗﾌ_20" localSheetId="0" hidden="1">#REF!</definedName>
    <definedName name="_415__123Graph_Xｸﾞﾗﾌ_20" hidden="1">#REF!</definedName>
    <definedName name="_416__123Graph_Xｸﾞﾗﾌ_21" localSheetId="0" hidden="1">#REF!</definedName>
    <definedName name="_416__123Graph_Xｸﾞﾗﾌ_21" hidden="1">#REF!</definedName>
    <definedName name="_417__123Graph_Xｸﾞﾗﾌ_22" hidden="1">#REF!</definedName>
    <definedName name="_418__123Graph_Xｸﾞﾗﾌ_24" hidden="1">#REF!</definedName>
    <definedName name="_419__123Graph_Xｸﾞﾗﾌ_25" hidden="1">#REF!</definedName>
    <definedName name="_422__123Graph_Xｸﾞﾗﾌ_26" hidden="1">#REF!</definedName>
    <definedName name="_423__123Graph_Xｸﾞﾗﾌ_27" hidden="1">#REF!</definedName>
    <definedName name="_426__123Graph_Xｸﾞﾗﾌ_3" hidden="1">#REF!</definedName>
    <definedName name="_429__123Graph_Xｸﾞﾗﾌ_31" hidden="1">#REF!</definedName>
    <definedName name="_430__123Graph_Xｸﾞﾗﾌ_4" hidden="1">#REF!</definedName>
    <definedName name="_433__123Graph_Xｸﾞﾗﾌ_5" hidden="1">[3]バス!$CX$20:$CX$46</definedName>
    <definedName name="_436__123Graph_Xｸﾞﾗﾌ_6" hidden="1">[3]バス!$DC$35:$EC$35</definedName>
    <definedName name="_437__123Graph_Xｸﾞﾗﾌ_7" hidden="1">#REF!</definedName>
    <definedName name="_44__123Graph_Aｸﾞﾗﾌ_31" hidden="1">#REF!</definedName>
    <definedName name="_440__123Graph_Xｸﾞﾗﾌ_8" hidden="1">#REF!</definedName>
    <definedName name="_443__123Graph_Xｸﾞﾗﾌ_9" hidden="1">#REF!</definedName>
    <definedName name="_47__123Graph_Aｸﾞﾗﾌ_4" hidden="1">#REF!</definedName>
    <definedName name="_50__123Graph_Aｸﾞﾗﾌ_5" hidden="1">#REF!</definedName>
    <definedName name="_53__123Graph_Aｸﾞﾗﾌ_6" hidden="1">[3]バス!$DC$36:$EC$36</definedName>
    <definedName name="_56__123Graph_Aｸﾞﾗﾌ_7" hidden="1">#REF!</definedName>
    <definedName name="_59__123Graph_Aｸﾞﾗﾌ_8" hidden="1">#REF!</definedName>
    <definedName name="_6__123Graph_Aｸﾞﾗﾌ_10" hidden="1">#REF!</definedName>
    <definedName name="_62__123Graph_Aｸﾞﾗﾌ_9" hidden="1">#REF!</definedName>
    <definedName name="_65__123Graph_Bｸﾞﾗﾌ_1" hidden="1">#REF!</definedName>
    <definedName name="_68__123Graph_Bｸﾞﾗﾌ_10" hidden="1">#REF!</definedName>
    <definedName name="_71__123Graph_Bｸﾞﾗﾌ_11" hidden="1">#REF!</definedName>
    <definedName name="_74__123Graph_Bｸﾞﾗﾌ_12" hidden="1">#REF!</definedName>
    <definedName name="_77__123Graph_Bｸﾞﾗﾌ_13" hidden="1">#REF!</definedName>
    <definedName name="_80__123Graph_Bｸﾞﾗﾌ_14" hidden="1">#REF!</definedName>
    <definedName name="_81__123Graph_Bｸﾞﾗﾌ_15" hidden="1">#REF!</definedName>
    <definedName name="_82__123Graph_Bｸﾞﾗﾌ_16" hidden="1">#REF!</definedName>
    <definedName name="_83__123Graph_Bｸﾞﾗﾌ_17" hidden="1">#REF!</definedName>
    <definedName name="_84__123Graph_Bｸﾞﾗﾌ_18" hidden="1">#REF!</definedName>
    <definedName name="_85__123Graph_Bｸﾞﾗﾌ_19" hidden="1">#REF!</definedName>
    <definedName name="_88__123Graph_Bｸﾞﾗﾌ_2" hidden="1">#REF!</definedName>
    <definedName name="_89__123Graph_Bｸﾞﾗﾌ_20" hidden="1">#REF!</definedName>
    <definedName name="_9__123Graph_Aｸﾞﾗﾌ_11" hidden="1">#REF!</definedName>
    <definedName name="_90__123Graph_Bｸﾞﾗﾌ_21" hidden="1">#REF!</definedName>
    <definedName name="_91__123Graph_Bｸﾞﾗﾌ_22" hidden="1">#REF!</definedName>
    <definedName name="_92__123Graph_Bｸﾞﾗﾌ_24" hidden="1">#REF!</definedName>
    <definedName name="_93__123Graph_Bｸﾞﾗﾌ_25" hidden="1">#REF!</definedName>
    <definedName name="_96__123Graph_Bｸﾞﾗﾌ_26" hidden="1">#REF!</definedName>
    <definedName name="_97__123Graph_Bｸﾞﾗﾌ_27" hidden="1">#REF!</definedName>
    <definedName name="_Fill" hidden="1">#REF!</definedName>
    <definedName name="_xlnm._FilterDatabase" localSheetId="0" hidden="1">'3-1'!$A$8:$U$14</definedName>
    <definedName name="_Key1" localSheetId="0" hidden="1">#REF!</definedName>
    <definedName name="_Key1" hidden="1">#REF!</definedName>
    <definedName name="_Key2" hidden="1">[5]仕入住原!$B$501</definedName>
    <definedName name="_Order1" hidden="1">255</definedName>
    <definedName name="_Order2" hidden="1">255</definedName>
    <definedName name="_Parse_In" hidden="1">'[6]bs is'!$B$116:$B$165</definedName>
    <definedName name="_Parse_Out" hidden="1">'[6]bs is'!$V$122:$AA$171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t" hidden="1">#REF!</definedName>
    <definedName name="FF" hidden="1">#REF!</definedName>
    <definedName name="ｇｄさ" hidden="1">#REF!</definedName>
    <definedName name="GURAHU7" hidden="1">[7]バス!$DA$20:$DA$46</definedName>
    <definedName name="ｇｗｇ" localSheetId="0" hidden="1">#REF!</definedName>
    <definedName name="ｇｗｇ" hidden="1">#REF!</definedName>
    <definedName name="Module1.社内配布用印刷" localSheetId="0">[8]!Module1.社内配布用印刷</definedName>
    <definedName name="Module1.社内配布用印刷">[8]!Module1.社内配布用印刷</definedName>
    <definedName name="Module1.提出用印刷" localSheetId="0">[8]!Module1.提出用印刷</definedName>
    <definedName name="Module1.提出用印刷">[8]!Module1.提出用印刷</definedName>
    <definedName name="_xlnm.Print_Area" localSheetId="0">'3-1'!$A$2:$V$45</definedName>
    <definedName name="_xlnm.Print_Titles" localSheetId="0">'3-1'!$2:$8</definedName>
    <definedName name="_xlnm.Print_Titles">[9]乗用・ＲＶ車!$1:$7</definedName>
    <definedName name="グラフ" localSheetId="0" hidden="1">#REF!</definedName>
    <definedName name="グラフ" hidden="1">#REF!</definedName>
    <definedName name="グラフ2" hidden="1">[7]バス!$CY$20:$CY$46</definedName>
    <definedName name="グラフ3" localSheetId="0" hidden="1">#REF!</definedName>
    <definedName name="グラフ3" hidden="1">#REF!</definedName>
    <definedName name="ぐらふ３" localSheetId="0" hidden="1">#REF!</definedName>
    <definedName name="ぐらふ３" hidden="1">#REF!</definedName>
    <definedName name="グラフ4" hidden="1">[7]バス!$C$66:$C$107</definedName>
    <definedName name="グラフ６" hidden="1">[7]バス!$DC$38:$EC$38</definedName>
    <definedName name="ぐらふ６" hidden="1">[7]バス!$DC$35:$EC$35</definedName>
    <definedName name="けＹ" localSheetId="0" hidden="1">#REF!</definedName>
    <definedName name="けＹ" hidden="1">#REF!</definedName>
    <definedName name="そＲＴ" localSheetId="0" hidden="1">#REF!</definedName>
    <definedName name="そＲＴ" hidden="1">#REF!</definedName>
    <definedName name="た" localSheetId="0" hidden="1">#REF!</definedName>
    <definedName name="た" hidden="1">#REF!</definedName>
    <definedName name="だ" hidden="1">#REF!</definedName>
    <definedName name="っｄ" localSheetId="0">[10]!社内配布用印刷</definedName>
    <definedName name="っｄ">[10]!社内配布用印刷</definedName>
    <definedName name="ふぁ" localSheetId="0" hidden="1">#REF!</definedName>
    <definedName name="ふぁ" hidden="1">#REF!</definedName>
    <definedName name="へあ" localSheetId="0" hidden="1">#REF!</definedName>
    <definedName name="へあ" hidden="1">#REF!</definedName>
    <definedName name="社内配布用印刷" localSheetId="0">[10]!社内配布用印刷</definedName>
    <definedName name="社内配布用印刷">[10]!社内配布用印刷</definedName>
    <definedName name="乗用115_以上">#REF!</definedName>
    <definedName name="新型構変選択" localSheetId="0">[8]!新型構変選択</definedName>
    <definedName name="新型構変選択">[8]!新型構変選択</definedName>
    <definedName name="製作者選択" localSheetId="0">[8]!製作者選択</definedName>
    <definedName name="製作者選択">[8]!製作者選択</definedName>
    <definedName name="提出用印刷" localSheetId="0">[10]!提出用印刷</definedName>
    <definedName name="提出用印刷">[10]!提出用印刷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0" i="1" l="1"/>
  <c r="V40" i="1" s="1"/>
  <c r="O40" i="1"/>
  <c r="X39" i="1"/>
  <c r="V39" i="1" s="1"/>
  <c r="O39" i="1"/>
  <c r="X38" i="1"/>
  <c r="V38" i="1" s="1"/>
  <c r="O38" i="1"/>
  <c r="X37" i="1"/>
  <c r="V37" i="1" s="1"/>
  <c r="O37" i="1"/>
  <c r="X36" i="1"/>
  <c r="V36" i="1" s="1"/>
  <c r="O36" i="1"/>
  <c r="X35" i="1"/>
  <c r="V35" i="1"/>
  <c r="O35" i="1"/>
  <c r="X34" i="1"/>
  <c r="V34" i="1"/>
  <c r="O34" i="1"/>
  <c r="X33" i="1"/>
  <c r="V33" i="1"/>
  <c r="O33" i="1"/>
  <c r="X32" i="1"/>
  <c r="V32" i="1" s="1"/>
  <c r="O32" i="1"/>
  <c r="X31" i="1"/>
  <c r="V31" i="1"/>
  <c r="O31" i="1"/>
  <c r="X30" i="1"/>
  <c r="V30" i="1" s="1"/>
  <c r="O30" i="1"/>
  <c r="X29" i="1"/>
  <c r="V29" i="1" s="1"/>
  <c r="O29" i="1"/>
  <c r="X28" i="1"/>
  <c r="V28" i="1" s="1"/>
  <c r="O28" i="1"/>
  <c r="X27" i="1"/>
  <c r="V27" i="1"/>
  <c r="O27" i="1"/>
  <c r="X26" i="1"/>
  <c r="V26" i="1"/>
  <c r="O26" i="1"/>
  <c r="X25" i="1"/>
  <c r="V25" i="1"/>
  <c r="O25" i="1"/>
  <c r="X24" i="1"/>
  <c r="V24" i="1" s="1"/>
  <c r="O24" i="1"/>
  <c r="X23" i="1"/>
  <c r="V23" i="1"/>
  <c r="O23" i="1"/>
  <c r="X22" i="1"/>
  <c r="V22" i="1" s="1"/>
  <c r="O22" i="1"/>
  <c r="X21" i="1"/>
  <c r="V21" i="1" s="1"/>
  <c r="O21" i="1"/>
  <c r="X20" i="1"/>
  <c r="V20" i="1" s="1"/>
  <c r="O20" i="1"/>
  <c r="X19" i="1"/>
  <c r="V19" i="1"/>
  <c r="O19" i="1"/>
  <c r="X18" i="1"/>
  <c r="V18" i="1"/>
  <c r="O18" i="1"/>
  <c r="X17" i="1"/>
  <c r="V17" i="1"/>
  <c r="O17" i="1"/>
  <c r="X16" i="1"/>
  <c r="V16" i="1" s="1"/>
  <c r="O16" i="1"/>
  <c r="X15" i="1"/>
  <c r="V15" i="1"/>
  <c r="O15" i="1"/>
  <c r="X14" i="1"/>
  <c r="V14" i="1" s="1"/>
  <c r="O14" i="1"/>
  <c r="X13" i="1"/>
  <c r="V13" i="1" s="1"/>
  <c r="O13" i="1"/>
  <c r="X12" i="1"/>
  <c r="V12" i="1" s="1"/>
  <c r="O12" i="1"/>
  <c r="X11" i="1"/>
  <c r="V11" i="1"/>
  <c r="O11" i="1"/>
  <c r="X10" i="1"/>
  <c r="V10" i="1"/>
  <c r="O10" i="1"/>
  <c r="X9" i="1"/>
  <c r="V9" i="1"/>
  <c r="O9" i="1"/>
</calcChain>
</file>

<file path=xl/sharedStrings.xml><?xml version="1.0" encoding="utf-8"?>
<sst xmlns="http://schemas.openxmlformats.org/spreadsheetml/2006/main" count="275" uniqueCount="94">
  <si>
    <r>
      <rPr>
        <sz val="8"/>
        <rFont val="ＭＳ Ｐゴシック"/>
        <family val="3"/>
        <charset val="128"/>
      </rPr>
      <t>当該自動車の製造又は輸入の事業を行う者の氏名又は名称　　</t>
    </r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7"/>
  </si>
  <si>
    <r>
      <rPr>
        <sz val="8"/>
        <rFont val="ＭＳ Ｐゴシック"/>
        <family val="3"/>
        <charset val="128"/>
      </rPr>
      <t>日野自動車株式会社</t>
    </r>
    <phoneticPr fontId="7"/>
  </si>
  <si>
    <t>路線バス等又は一般バス等</t>
    <rPh sb="0" eb="2">
      <t>ロセン</t>
    </rPh>
    <rPh sb="4" eb="5">
      <t>トウ</t>
    </rPh>
    <rPh sb="5" eb="6">
      <t>マタ</t>
    </rPh>
    <rPh sb="7" eb="9">
      <t>イッパン</t>
    </rPh>
    <rPh sb="11" eb="12">
      <t>トウ</t>
    </rPh>
    <phoneticPr fontId="7"/>
  </si>
  <si>
    <r>
      <rPr>
        <sz val="8"/>
        <rFont val="ＭＳ Ｐゴシック"/>
        <family val="3"/>
        <charset val="128"/>
      </rPr>
      <t>目標年度（令和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>年度）</t>
    </r>
    <rPh sb="0" eb="2">
      <t>モクヒョウ</t>
    </rPh>
    <rPh sb="2" eb="4">
      <t>ネンド</t>
    </rPh>
    <rPh sb="5" eb="7">
      <t>レイワ</t>
    </rPh>
    <rPh sb="8" eb="10">
      <t>ネンド</t>
    </rPh>
    <phoneticPr fontId="7"/>
  </si>
  <si>
    <r>
      <rPr>
        <sz val="8"/>
        <rFont val="ＭＳ Ｐゴシック"/>
        <family val="3"/>
        <charset val="128"/>
      </rPr>
      <t>車　名</t>
    </r>
    <rPh sb="0" eb="1">
      <t>クルマ</t>
    </rPh>
    <rPh sb="2" eb="3">
      <t>メイ</t>
    </rPh>
    <phoneticPr fontId="7"/>
  </si>
  <si>
    <r>
      <rPr>
        <sz val="8"/>
        <rFont val="ＭＳ Ｐゴシック"/>
        <family val="3"/>
        <charset val="128"/>
      </rPr>
      <t>通称名</t>
    </r>
  </si>
  <si>
    <r>
      <rPr>
        <sz val="8"/>
        <rFont val="ＭＳ Ｐゴシック"/>
        <family val="3"/>
        <charset val="128"/>
      </rPr>
      <t>型式</t>
    </r>
  </si>
  <si>
    <r>
      <rPr>
        <sz val="8"/>
        <rFont val="ＭＳ Ｐゴシック"/>
        <family val="3"/>
        <charset val="128"/>
      </rPr>
      <t>原動機</t>
    </r>
  </si>
  <si>
    <r>
      <rPr>
        <sz val="8"/>
        <rFont val="ＭＳ Ｐゴシック"/>
        <family val="3"/>
        <charset val="128"/>
      </rPr>
      <t>変速装置の
型式及び変速段数</t>
    </r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7"/>
  </si>
  <si>
    <r>
      <rPr>
        <sz val="8"/>
        <rFont val="ＭＳ Ｐゴシック"/>
        <family val="3"/>
        <charset val="128"/>
      </rPr>
      <t xml:space="preserve">車両重量
</t>
    </r>
    <r>
      <rPr>
        <sz val="8"/>
        <rFont val="Arial"/>
        <family val="2"/>
      </rPr>
      <t>(kg)</t>
    </r>
    <phoneticPr fontId="7"/>
  </si>
  <si>
    <r>
      <rPr>
        <sz val="8"/>
        <rFont val="ＭＳ Ｐゴシック"/>
        <family val="3"/>
        <charset val="128"/>
      </rPr>
      <t xml:space="preserve">車両総重量
</t>
    </r>
    <r>
      <rPr>
        <sz val="8"/>
        <rFont val="Arial"/>
        <family val="2"/>
      </rPr>
      <t>(kg)</t>
    </r>
    <phoneticPr fontId="7"/>
  </si>
  <si>
    <r>
      <rPr>
        <sz val="8"/>
        <rFont val="ＭＳ Ｐゴシック"/>
        <family val="3"/>
        <charset val="128"/>
      </rPr>
      <t>最大積載量</t>
    </r>
    <r>
      <rPr>
        <sz val="8"/>
        <rFont val="Arial"/>
        <family val="2"/>
      </rPr>
      <t xml:space="preserve">(kg)
</t>
    </r>
    <r>
      <rPr>
        <sz val="8"/>
        <rFont val="ＭＳ Ｐゴシック"/>
        <family val="3"/>
        <charset val="128"/>
      </rPr>
      <t>又は
乗車定員</t>
    </r>
    <r>
      <rPr>
        <sz val="8"/>
        <rFont val="Arial"/>
        <family val="2"/>
      </rPr>
      <t>(</t>
    </r>
    <r>
      <rPr>
        <sz val="8"/>
        <rFont val="ＭＳ Ｐゴシック"/>
        <family val="3"/>
        <charset val="128"/>
      </rPr>
      <t>名</t>
    </r>
    <r>
      <rPr>
        <sz val="8"/>
        <rFont val="Arial"/>
        <family val="2"/>
      </rPr>
      <t>)</t>
    </r>
    <rPh sb="0" eb="2">
      <t>サイダイ</t>
    </rPh>
    <rPh sb="2" eb="5">
      <t>セキサイリョウ</t>
    </rPh>
    <rPh sb="10" eb="11">
      <t>マタ</t>
    </rPh>
    <rPh sb="13" eb="15">
      <t>ジョウシャ</t>
    </rPh>
    <rPh sb="15" eb="17">
      <t>テイイン</t>
    </rPh>
    <rPh sb="18" eb="19">
      <t>メイ</t>
    </rPh>
    <phoneticPr fontId="7"/>
  </si>
  <si>
    <r>
      <rPr>
        <sz val="8"/>
        <rFont val="ＭＳ Ｐゴシック"/>
        <family val="3"/>
        <charset val="128"/>
      </rPr>
      <t>自動車の構造</t>
    </r>
    <rPh sb="0" eb="3">
      <t>ジドウシャ</t>
    </rPh>
    <rPh sb="4" eb="6">
      <t>コウゾウ</t>
    </rPh>
    <phoneticPr fontId="7"/>
  </si>
  <si>
    <r>
      <t>JH25</t>
    </r>
    <r>
      <rPr>
        <sz val="8"/>
        <rFont val="ＭＳ Ｐゴシック"/>
        <family val="3"/>
        <charset val="128"/>
      </rPr>
      <t>モード</t>
    </r>
    <phoneticPr fontId="7"/>
  </si>
  <si>
    <r>
      <rPr>
        <sz val="8"/>
        <rFont val="ＭＳ Ｐゴシック"/>
        <family val="3"/>
        <charset val="128"/>
      </rPr>
      <t>主要燃費
改善対策</t>
    </r>
    <rPh sb="0" eb="2">
      <t>シュヨウ</t>
    </rPh>
    <rPh sb="2" eb="4">
      <t>ネンピ</t>
    </rPh>
    <rPh sb="5" eb="7">
      <t>カイゼン</t>
    </rPh>
    <rPh sb="7" eb="9">
      <t>タイサク</t>
    </rPh>
    <phoneticPr fontId="7"/>
  </si>
  <si>
    <r>
      <rPr>
        <sz val="8"/>
        <rFont val="ＭＳ Ｐゴシック"/>
        <family val="3"/>
        <charset val="128"/>
      </rPr>
      <t>その他燃費値の異なる要因</t>
    </r>
    <rPh sb="2" eb="3">
      <t>タ</t>
    </rPh>
    <rPh sb="3" eb="5">
      <t>ネンピ</t>
    </rPh>
    <rPh sb="5" eb="6">
      <t>チ</t>
    </rPh>
    <rPh sb="7" eb="8">
      <t>コト</t>
    </rPh>
    <rPh sb="10" eb="12">
      <t>ヨウイン</t>
    </rPh>
    <phoneticPr fontId="7"/>
  </si>
  <si>
    <r>
      <rPr>
        <sz val="8"/>
        <rFont val="ＭＳ Ｐゴシック"/>
        <family val="3"/>
        <charset val="128"/>
      </rPr>
      <t>（参考）
低排出ガス
認定レベル</t>
    </r>
    <rPh sb="1" eb="3">
      <t>サンコウ</t>
    </rPh>
    <phoneticPr fontId="7"/>
  </si>
  <si>
    <r>
      <rPr>
        <sz val="8"/>
        <rFont val="ＭＳ Ｐゴシック"/>
        <family val="3"/>
        <charset val="128"/>
      </rPr>
      <t>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>年度
燃費基準
達成レベル・向上達成レベル</t>
    </r>
    <rPh sb="0" eb="2">
      <t>レイワ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タッセイ</t>
    </rPh>
    <rPh sb="17" eb="19">
      <t>コウジョウ</t>
    </rPh>
    <rPh sb="19" eb="21">
      <t>タッセイ</t>
    </rPh>
    <phoneticPr fontId="7"/>
  </si>
  <si>
    <r>
      <rPr>
        <sz val="8"/>
        <rFont val="ＭＳ Ｐゴシック"/>
        <family val="3"/>
        <charset val="128"/>
      </rPr>
      <t xml:space="preserve">燃費値
</t>
    </r>
    <r>
      <rPr>
        <sz val="8"/>
        <rFont val="Arial"/>
        <family val="2"/>
      </rPr>
      <t>(km/L)</t>
    </r>
    <rPh sb="0" eb="2">
      <t>ネンピ</t>
    </rPh>
    <rPh sb="2" eb="3">
      <t>チ</t>
    </rPh>
    <phoneticPr fontId="7"/>
  </si>
  <si>
    <r>
      <t>1km</t>
    </r>
    <r>
      <rPr>
        <sz val="8"/>
        <rFont val="ＭＳ Ｐゴシック"/>
        <family val="3"/>
        <charset val="128"/>
      </rPr>
      <t xml:space="preserve">走行
における
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 xml:space="preserve">排出量
</t>
    </r>
    <r>
      <rPr>
        <sz val="8"/>
        <rFont val="Arial"/>
        <family val="2"/>
      </rPr>
      <t>(g-CO2/km)</t>
    </r>
    <rPh sb="14" eb="16">
      <t>ハイシュツ</t>
    </rPh>
    <rPh sb="16" eb="17">
      <t>リョウ</t>
    </rPh>
    <phoneticPr fontId="7"/>
  </si>
  <si>
    <r>
      <rPr>
        <sz val="8"/>
        <rFont val="ＭＳ Ｐゴシック"/>
        <family val="3"/>
        <charset val="128"/>
      </rPr>
      <t>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 xml:space="preserve">年度燃費基準値
</t>
    </r>
    <r>
      <rPr>
        <sz val="8"/>
        <rFont val="Arial"/>
        <family val="2"/>
      </rPr>
      <t>(km/L)</t>
    </r>
    <rPh sb="0" eb="2">
      <t>レイワ</t>
    </rPh>
    <rPh sb="3" eb="5">
      <t>ネンド</t>
    </rPh>
    <rPh sb="5" eb="7">
      <t>ネンピ</t>
    </rPh>
    <rPh sb="7" eb="10">
      <t>キジュンチ</t>
    </rPh>
    <phoneticPr fontId="7"/>
  </si>
  <si>
    <r>
      <rPr>
        <sz val="8"/>
        <rFont val="ＭＳ Ｐゴシック"/>
        <family val="3"/>
        <charset val="128"/>
      </rPr>
      <t xml:space="preserve">総排気量
</t>
    </r>
    <r>
      <rPr>
        <sz val="8"/>
        <rFont val="Arial"/>
        <family val="2"/>
      </rPr>
      <t>(L)</t>
    </r>
    <rPh sb="2" eb="3">
      <t>キ</t>
    </rPh>
    <rPh sb="3" eb="4">
      <t>リョウ</t>
    </rPh>
    <phoneticPr fontId="7"/>
  </si>
  <si>
    <r>
      <rPr>
        <sz val="8"/>
        <rFont val="ＭＳ Ｐゴシック"/>
        <family val="3"/>
        <charset val="128"/>
      </rPr>
      <t xml:space="preserve">最大トルク
</t>
    </r>
    <r>
      <rPr>
        <sz val="8"/>
        <rFont val="Arial"/>
        <family val="2"/>
      </rPr>
      <t>(N-m)</t>
    </r>
    <rPh sb="0" eb="2">
      <t>サイダイ</t>
    </rPh>
    <phoneticPr fontId="7"/>
  </si>
  <si>
    <r>
      <rPr>
        <sz val="8"/>
        <rFont val="ＭＳ Ｐゴシック"/>
        <family val="3"/>
        <charset val="128"/>
      </rPr>
      <t xml:space="preserve">最高出力
</t>
    </r>
    <r>
      <rPr>
        <sz val="8"/>
        <rFont val="Arial"/>
        <family val="2"/>
      </rPr>
      <t>(kW)</t>
    </r>
    <rPh sb="0" eb="2">
      <t>サイコウ</t>
    </rPh>
    <rPh sb="2" eb="4">
      <t>シュツリョク</t>
    </rPh>
    <phoneticPr fontId="7"/>
  </si>
  <si>
    <r>
      <rPr>
        <sz val="8"/>
        <rFont val="ＭＳ Ｐゴシック"/>
        <family val="3"/>
        <charset val="128"/>
      </rPr>
      <t>主要排出
ガス対策</t>
    </r>
    <phoneticPr fontId="7"/>
  </si>
  <si>
    <r>
      <rPr>
        <sz val="8"/>
        <rFont val="ＭＳ Ｐゴシック"/>
        <family val="3"/>
        <charset val="128"/>
      </rPr>
      <t>車輪配列</t>
    </r>
    <rPh sb="0" eb="2">
      <t>シャリン</t>
    </rPh>
    <phoneticPr fontId="7"/>
  </si>
  <si>
    <r>
      <rPr>
        <sz val="8"/>
        <rFont val="ＭＳ Ｐゴシック"/>
        <family val="3"/>
        <charset val="128"/>
      </rPr>
      <t>その他</t>
    </r>
  </si>
  <si>
    <t>R7</t>
    <phoneticPr fontId="7"/>
  </si>
  <si>
    <r>
      <rPr>
        <sz val="8"/>
        <rFont val="ＭＳ Ｐゴシック"/>
        <family val="3"/>
        <charset val="128"/>
      </rPr>
      <t>日野</t>
    </r>
    <phoneticPr fontId="7"/>
  </si>
  <si>
    <r>
      <rPr>
        <sz val="8"/>
        <rFont val="ＭＳ Ｐゴシック"/>
        <family val="3"/>
        <charset val="128"/>
      </rPr>
      <t>※</t>
    </r>
    <phoneticPr fontId="7"/>
  </si>
  <si>
    <r>
      <rPr>
        <sz val="8"/>
        <rFont val="ＭＳ Ｐゴシック"/>
        <family val="3"/>
        <charset val="128"/>
      </rPr>
      <t>日野リエッセＩＩ</t>
    </r>
    <phoneticPr fontId="7"/>
  </si>
  <si>
    <t>2WG-GDB100M</t>
  </si>
  <si>
    <t>3GD</t>
  </si>
  <si>
    <t>EGR,DF,CCO,SCR</t>
  </si>
  <si>
    <t>2-4D</t>
  </si>
  <si>
    <t>2WG-GDB110M</t>
  </si>
  <si>
    <t>2WG-GDB120M</t>
  </si>
  <si>
    <t>2KG-GDB60M</t>
  </si>
  <si>
    <t>1GD</t>
  </si>
  <si>
    <r>
      <t>6AT(E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LTC)</t>
    </r>
    <phoneticPr fontId="7"/>
  </si>
  <si>
    <r>
      <rPr>
        <sz val="8"/>
        <rFont val="ＭＳ Ｐゴシック"/>
        <family val="3"/>
        <charset val="128"/>
      </rPr>
      <t>一般バス</t>
    </r>
    <phoneticPr fontId="7"/>
  </si>
  <si>
    <r>
      <rPr>
        <sz val="8"/>
        <rFont val="ＭＳ Ｐゴシック"/>
        <family val="3"/>
        <charset val="128"/>
      </rPr>
      <t>Ｄ</t>
    </r>
    <r>
      <rPr>
        <sz val="8"/>
        <rFont val="Arial"/>
        <family val="2"/>
      </rPr>
      <t>,FI,TC,IC,P</t>
    </r>
    <phoneticPr fontId="7"/>
  </si>
  <si>
    <t>2KG-GDB70M</t>
  </si>
  <si>
    <t>2KG-GDB80M</t>
  </si>
  <si>
    <r>
      <rPr>
        <sz val="8"/>
        <rFont val="ＭＳ Ｐゴシック"/>
        <family val="3"/>
        <charset val="128"/>
      </rPr>
      <t>一般ﾊﾞｽ</t>
    </r>
  </si>
  <si>
    <r>
      <rPr>
        <sz val="8"/>
        <rFont val="ＭＳ Ｐゴシック"/>
        <family val="3"/>
        <charset val="128"/>
      </rPr>
      <t>レインボー</t>
    </r>
    <phoneticPr fontId="7"/>
  </si>
  <si>
    <t>2KG-KR290J5</t>
  </si>
  <si>
    <t>4HK1</t>
  </si>
  <si>
    <r>
      <rPr>
        <sz val="8"/>
        <rFont val="ＭＳ Ｐゴシック"/>
        <family val="3"/>
        <charset val="128"/>
      </rPr>
      <t>路線バス</t>
    </r>
    <phoneticPr fontId="7"/>
  </si>
  <si>
    <t>I,D,TC,IC,FI,P</t>
    <phoneticPr fontId="7"/>
  </si>
  <si>
    <t>EGR,DF,SCR</t>
  </si>
  <si>
    <t>日野　ポンチョ</t>
  </si>
  <si>
    <t>2DG-HX9JHCE</t>
  </si>
  <si>
    <t>J05E</t>
  </si>
  <si>
    <t>5AT</t>
  </si>
  <si>
    <t>路線バス</t>
  </si>
  <si>
    <t>P,FI</t>
  </si>
  <si>
    <t>EGR,DF</t>
  </si>
  <si>
    <t>2DG-HX9JLCE</t>
  </si>
  <si>
    <t>日野　メルファ</t>
  </si>
  <si>
    <t>2DG-RR2AJDA</t>
  </si>
  <si>
    <t>A05C</t>
  </si>
  <si>
    <t>6AMT</t>
  </si>
  <si>
    <t>一般バス</t>
  </si>
  <si>
    <r>
      <rPr>
        <sz val="8"/>
        <rFont val="ＭＳ Ｐゴシック"/>
        <family val="3"/>
        <charset val="128"/>
      </rPr>
      <t>日野セレガ</t>
    </r>
    <rPh sb="0" eb="2">
      <t>ヒノ</t>
    </rPh>
    <phoneticPr fontId="4"/>
  </si>
  <si>
    <t>2PG-RU1ASDA</t>
    <phoneticPr fontId="7"/>
  </si>
  <si>
    <t>A09C</t>
    <phoneticPr fontId="7"/>
  </si>
  <si>
    <t>7MT</t>
  </si>
  <si>
    <t>7AMT</t>
    <phoneticPr fontId="7"/>
  </si>
  <si>
    <t>一般バス</t>
    <phoneticPr fontId="7"/>
  </si>
  <si>
    <t>2DG-RU2AHDA</t>
  </si>
  <si>
    <t>882</t>
  </si>
  <si>
    <t>191</t>
  </si>
  <si>
    <t>7AMT</t>
  </si>
  <si>
    <r>
      <rPr>
        <sz val="8"/>
        <rFont val="ＭＳ Ｐゴシック"/>
        <family val="3"/>
        <charset val="128"/>
      </rPr>
      <t>類別区分番号</t>
    </r>
    <r>
      <rPr>
        <sz val="8"/>
        <rFont val="Arial"/>
        <family val="3"/>
      </rPr>
      <t xml:space="preserve">
5</t>
    </r>
    <r>
      <rPr>
        <sz val="8"/>
        <rFont val="Arial"/>
        <family val="2"/>
      </rPr>
      <t>001</t>
    </r>
    <r>
      <rPr>
        <sz val="8"/>
        <rFont val="ＭＳ Ｐゴシック"/>
        <family val="3"/>
        <charset val="128"/>
      </rPr>
      <t>番以降</t>
    </r>
    <rPh sb="0" eb="6">
      <t>ルイベツクブンバンゴウ</t>
    </rPh>
    <rPh sb="11" eb="14">
      <t>バンイコウ</t>
    </rPh>
    <phoneticPr fontId="17"/>
  </si>
  <si>
    <r>
      <rPr>
        <sz val="8"/>
        <rFont val="ＭＳ Ｐゴシック"/>
        <family val="3"/>
        <charset val="128"/>
      </rPr>
      <t>ブルーリボン</t>
    </r>
  </si>
  <si>
    <t>2KG-KV290N4</t>
  </si>
  <si>
    <t>6MT</t>
  </si>
  <si>
    <t>EGR,DF,SCR</t>
    <phoneticPr fontId="7"/>
  </si>
  <si>
    <t>6AT(E･LTC)</t>
  </si>
  <si>
    <t>2KG-KV290Q4</t>
  </si>
  <si>
    <t>2TG-KV290N4</t>
  </si>
  <si>
    <t>2TG-KV290Q4</t>
  </si>
  <si>
    <t>2RG-KV290N4</t>
  </si>
  <si>
    <t>2RG-KV290Q4</t>
  </si>
  <si>
    <t>日野ブルーリボン</t>
    <rPh sb="0" eb="2">
      <t>ヒノ</t>
    </rPh>
    <phoneticPr fontId="4"/>
  </si>
  <si>
    <t>2SG-HL2ANBP</t>
  </si>
  <si>
    <t>A05C-K1</t>
  </si>
  <si>
    <t>H,I,P,FI</t>
    <phoneticPr fontId="7"/>
  </si>
  <si>
    <t>EGR, DF, SCR</t>
  </si>
  <si>
    <t>2SG-HL2ASBP</t>
  </si>
  <si>
    <r>
      <rPr>
        <sz val="8"/>
        <rFont val="ＭＳ Ｐゴシック"/>
        <family val="3"/>
        <charset val="128"/>
      </rPr>
      <t>※印････トヨタ自動車株式会社による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</t>
    </r>
    <rPh sb="1" eb="2">
      <t>シルシ</t>
    </rPh>
    <rPh sb="9" eb="11">
      <t>ジドウ</t>
    </rPh>
    <rPh sb="11" eb="12">
      <t>シャ</t>
    </rPh>
    <rPh sb="12" eb="14">
      <t>カブシキ</t>
    </rPh>
    <rPh sb="14" eb="16">
      <t>カイシャ</t>
    </rPh>
    <rPh sb="22" eb="24">
      <t>セイサン</t>
    </rPh>
    <rPh sb="24" eb="25">
      <t>シャ</t>
    </rPh>
    <phoneticPr fontId="5"/>
  </si>
  <si>
    <t>（注）車両重量・車両総重量・最大積載量（または乗車定員）は、燃費値の算定に当たって用いた標準的な仕様を記載しています。</t>
    <rPh sb="1" eb="2">
      <t>チュウ</t>
    </rPh>
    <rPh sb="3" eb="5">
      <t>シャリョウ</t>
    </rPh>
    <rPh sb="5" eb="7">
      <t>ジュウリョウ</t>
    </rPh>
    <rPh sb="8" eb="10">
      <t>シャリョウ</t>
    </rPh>
    <rPh sb="10" eb="13">
      <t>ソウジュウリョウ</t>
    </rPh>
    <rPh sb="14" eb="16">
      <t>サイダイ</t>
    </rPh>
    <rPh sb="16" eb="19">
      <t>セキサイリョウ</t>
    </rPh>
    <rPh sb="23" eb="25">
      <t>ジョウシャ</t>
    </rPh>
    <rPh sb="25" eb="27">
      <t>テイイン</t>
    </rPh>
    <rPh sb="30" eb="32">
      <t>ネンピ</t>
    </rPh>
    <rPh sb="32" eb="33">
      <t>チ</t>
    </rPh>
    <rPh sb="34" eb="36">
      <t>サンテイ</t>
    </rPh>
    <rPh sb="37" eb="38">
      <t>ア</t>
    </rPh>
    <rPh sb="41" eb="42">
      <t>モチ</t>
    </rPh>
    <rPh sb="44" eb="46">
      <t>ヒョウジュン</t>
    </rPh>
    <rPh sb="46" eb="47">
      <t>テキ</t>
    </rPh>
    <rPh sb="48" eb="50">
      <t>シヨウ</t>
    </rPh>
    <rPh sb="51" eb="53">
      <t>キサイ</t>
    </rPh>
    <phoneticPr fontId="7"/>
  </si>
  <si>
    <t>　　　実際に販売されている車両は、ここに記載された車両重量・車両総重量・最大積載量（または乗車定員）と異なる場合があります。</t>
    <rPh sb="3" eb="5">
      <t>ジッサイ</t>
    </rPh>
    <rPh sb="6" eb="8">
      <t>ハンバイ</t>
    </rPh>
    <rPh sb="13" eb="15">
      <t>シャリョウ</t>
    </rPh>
    <rPh sb="20" eb="22">
      <t>キサイ</t>
    </rPh>
    <rPh sb="25" eb="27">
      <t>シャリョウ</t>
    </rPh>
    <rPh sb="27" eb="29">
      <t>ジュウリョウ</t>
    </rPh>
    <rPh sb="30" eb="32">
      <t>シャリョウ</t>
    </rPh>
    <rPh sb="32" eb="35">
      <t>ソウジュウリョウ</t>
    </rPh>
    <rPh sb="36" eb="38">
      <t>サイダイ</t>
    </rPh>
    <rPh sb="38" eb="41">
      <t>セキサイリョウ</t>
    </rPh>
    <rPh sb="45" eb="47">
      <t>ジョウシャ</t>
    </rPh>
    <rPh sb="47" eb="49">
      <t>テイイン</t>
    </rPh>
    <rPh sb="51" eb="52">
      <t>コト</t>
    </rPh>
    <rPh sb="54" eb="56">
      <t>バアイ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</si>
</sst>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.##0"/>
    <numFmt numFmtId="177" formatCode="0.0"/>
    <numFmt numFmtId="178" formatCode="0.000_ "/>
    <numFmt numFmtId="179" formatCode="0.00_);[Red]\(0.00\)"/>
    <numFmt numFmtId="180" formatCode="0_);[Red]\(0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name val="Arial"/>
      <family val="2"/>
    </font>
    <font>
      <sz val="6"/>
      <name val="游ゴシック"/>
      <family val="2"/>
      <charset val="128"/>
      <scheme val="minor"/>
    </font>
    <font>
      <sz val="8"/>
      <name val="Arial"/>
      <family val="2"/>
    </font>
    <font>
      <sz val="12"/>
      <name val="Arial"/>
      <family val="2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Arial"/>
      <family val="2"/>
    </font>
    <font>
      <b/>
      <sz val="12"/>
      <name val="ＭＳ Ｐゴシック"/>
      <family val="3"/>
      <charset val="128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sz val="8"/>
      <name val="Arial"/>
      <family val="3"/>
      <charset val="128"/>
    </font>
    <font>
      <sz val="8"/>
      <name val="Arial"/>
      <family val="3"/>
    </font>
    <font>
      <sz val="6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4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/>
    <xf numFmtId="0" fontId="4" fillId="2" borderId="0" xfId="1" applyFont="1" applyFill="1"/>
    <xf numFmtId="0" fontId="2" fillId="2" borderId="0" xfId="1" applyFont="1" applyFill="1"/>
    <xf numFmtId="0" fontId="5" fillId="2" borderId="0" xfId="1" applyFont="1" applyFill="1"/>
    <xf numFmtId="0" fontId="4" fillId="2" borderId="1" xfId="1" applyFont="1" applyFill="1" applyBorder="1"/>
    <xf numFmtId="0" fontId="4" fillId="0" borderId="1" xfId="2" applyFont="1" applyBorder="1" applyAlignment="1" applyProtection="1">
      <protection locked="0"/>
    </xf>
    <xf numFmtId="0" fontId="9" fillId="0" borderId="1" xfId="2" applyFont="1" applyBorder="1" applyAlignment="1" applyProtection="1">
      <protection locked="0"/>
    </xf>
    <xf numFmtId="0" fontId="10" fillId="2" borderId="0" xfId="1" applyFont="1" applyFill="1"/>
    <xf numFmtId="0" fontId="4" fillId="2" borderId="2" xfId="1" applyFont="1" applyFill="1" applyBorder="1"/>
    <xf numFmtId="0" fontId="4" fillId="2" borderId="3" xfId="1" applyFont="1" applyFill="1" applyBorder="1" applyAlignment="1">
      <alignment horizontal="right"/>
    </xf>
    <xf numFmtId="0" fontId="4" fillId="2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 shrinkToFit="1"/>
    </xf>
    <xf numFmtId="0" fontId="4" fillId="2" borderId="5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17" xfId="2" applyFont="1" applyFill="1" applyBorder="1" applyProtection="1">
      <alignment vertical="center"/>
      <protection locked="0"/>
    </xf>
    <xf numFmtId="0" fontId="4" fillId="2" borderId="9" xfId="2" applyFont="1" applyFill="1" applyBorder="1" applyProtection="1">
      <alignment vertical="center"/>
      <protection locked="0"/>
    </xf>
    <xf numFmtId="0" fontId="4" fillId="2" borderId="0" xfId="2" applyFont="1" applyFill="1" applyAlignment="1" applyProtection="1">
      <alignment horizontal="left" vertical="center" wrapText="1"/>
      <protection locked="0"/>
    </xf>
    <xf numFmtId="0" fontId="12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4" fillId="0" borderId="0" xfId="3" applyFont="1"/>
    <xf numFmtId="0" fontId="4" fillId="2" borderId="0" xfId="3" applyFont="1" applyFill="1"/>
    <xf numFmtId="0" fontId="4" fillId="0" borderId="30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2" borderId="4" xfId="2" applyFont="1" applyFill="1" applyBorder="1" applyAlignment="1" applyProtection="1">
      <alignment horizontal="left" vertical="center" wrapText="1"/>
      <protection locked="0"/>
    </xf>
    <xf numFmtId="0" fontId="4" fillId="2" borderId="4" xfId="2" applyFont="1" applyFill="1" applyBorder="1" applyAlignment="1" applyProtection="1">
      <alignment horizontal="center" vertical="center" wrapText="1"/>
      <protection locked="0"/>
    </xf>
    <xf numFmtId="178" fontId="4" fillId="2" borderId="4" xfId="2" applyNumberFormat="1" applyFont="1" applyFill="1" applyBorder="1" applyAlignment="1" applyProtection="1">
      <alignment horizontal="center" vertical="center" wrapText="1"/>
      <protection locked="0"/>
    </xf>
    <xf numFmtId="38" fontId="4" fillId="2" borderId="4" xfId="5" applyFont="1" applyFill="1" applyBorder="1" applyAlignment="1" applyProtection="1">
      <alignment horizontal="center" vertical="center" wrapText="1"/>
      <protection locked="0"/>
    </xf>
    <xf numFmtId="0" fontId="4" fillId="2" borderId="36" xfId="2" applyFont="1" applyFill="1" applyBorder="1" applyAlignment="1" applyProtection="1">
      <alignment horizontal="center" vertical="center" wrapText="1"/>
      <protection locked="0"/>
    </xf>
    <xf numFmtId="179" fontId="13" fillId="2" borderId="19" xfId="2" applyNumberFormat="1" applyFont="1" applyFill="1" applyBorder="1" applyAlignment="1" applyProtection="1">
      <alignment horizontal="center" vertical="center" wrapText="1"/>
      <protection locked="0"/>
    </xf>
    <xf numFmtId="180" fontId="13" fillId="2" borderId="20" xfId="1" applyNumberFormat="1" applyFont="1" applyFill="1" applyBorder="1" applyAlignment="1">
      <alignment horizontal="center" vertical="center"/>
    </xf>
    <xf numFmtId="179" fontId="13" fillId="2" borderId="37" xfId="1" applyNumberFormat="1" applyFont="1" applyFill="1" applyBorder="1" applyAlignment="1" applyProtection="1">
      <alignment horizontal="center" vertical="center"/>
      <protection locked="0"/>
    </xf>
    <xf numFmtId="177" fontId="4" fillId="2" borderId="4" xfId="1" applyNumberFormat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14" fillId="2" borderId="38" xfId="1" applyFont="1" applyFill="1" applyBorder="1" applyAlignment="1" applyProtection="1">
      <alignment horizontal="center" vertical="center"/>
      <protection locked="0"/>
    </xf>
    <xf numFmtId="0" fontId="4" fillId="2" borderId="39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9" fontId="13" fillId="2" borderId="33" xfId="2" applyNumberFormat="1" applyFont="1" applyFill="1" applyBorder="1" applyAlignment="1" applyProtection="1">
      <alignment horizontal="center" vertical="center" wrapText="1"/>
      <protection locked="0"/>
    </xf>
    <xf numFmtId="180" fontId="13" fillId="2" borderId="34" xfId="1" applyNumberFormat="1" applyFont="1" applyFill="1" applyBorder="1" applyAlignment="1">
      <alignment horizontal="center" vertical="center"/>
    </xf>
    <xf numFmtId="0" fontId="4" fillId="2" borderId="18" xfId="2" applyFont="1" applyFill="1" applyBorder="1" applyProtection="1">
      <alignment vertical="center"/>
      <protection locked="0"/>
    </xf>
    <xf numFmtId="0" fontId="4" fillId="2" borderId="40" xfId="2" applyFont="1" applyFill="1" applyBorder="1" applyAlignment="1" applyProtection="1">
      <alignment horizontal="left" vertical="center" wrapText="1"/>
      <protection locked="0"/>
    </xf>
    <xf numFmtId="0" fontId="4" fillId="2" borderId="5" xfId="2" applyFont="1" applyFill="1" applyBorder="1" applyProtection="1">
      <alignment vertical="center"/>
      <protection locked="0"/>
    </xf>
    <xf numFmtId="0" fontId="4" fillId="2" borderId="6" xfId="2" applyFont="1" applyFill="1" applyBorder="1" applyAlignment="1" applyProtection="1">
      <alignment horizontal="left" vertical="center" wrapText="1"/>
      <protection locked="0"/>
    </xf>
    <xf numFmtId="0" fontId="13" fillId="2" borderId="33" xfId="2" applyFont="1" applyFill="1" applyBorder="1" applyAlignment="1" applyProtection="1">
      <alignment horizontal="center" vertical="center" wrapText="1"/>
      <protection locked="0"/>
    </xf>
    <xf numFmtId="0" fontId="4" fillId="0" borderId="17" xfId="6" applyFont="1" applyBorder="1" applyProtection="1">
      <alignment vertical="center"/>
      <protection locked="0"/>
    </xf>
    <xf numFmtId="0" fontId="4" fillId="0" borderId="5" xfId="6" applyFont="1" applyBorder="1" applyAlignment="1" applyProtection="1">
      <alignment horizontal="left" vertical="center"/>
      <protection locked="0"/>
    </xf>
    <xf numFmtId="0" fontId="4" fillId="0" borderId="6" xfId="6" applyFont="1" applyBorder="1" applyAlignment="1" applyProtection="1">
      <alignment horizontal="left" vertical="center" wrapText="1"/>
      <protection locked="0"/>
    </xf>
    <xf numFmtId="0" fontId="4" fillId="0" borderId="4" xfId="6" applyFont="1" applyBorder="1" applyAlignment="1" applyProtection="1">
      <alignment horizontal="left" vertical="center" wrapText="1"/>
      <protection locked="0"/>
    </xf>
    <xf numFmtId="0" fontId="4" fillId="0" borderId="4" xfId="6" applyFont="1" applyBorder="1" applyAlignment="1" applyProtection="1">
      <alignment horizontal="center" vertical="center" wrapText="1"/>
      <protection locked="0"/>
    </xf>
    <xf numFmtId="178" fontId="4" fillId="0" borderId="4" xfId="6" applyNumberFormat="1" applyFont="1" applyBorder="1" applyAlignment="1" applyProtection="1">
      <alignment horizontal="center" vertical="center" wrapText="1"/>
      <protection locked="0"/>
    </xf>
    <xf numFmtId="38" fontId="4" fillId="0" borderId="4" xfId="5" applyFont="1" applyFill="1" applyBorder="1" applyAlignment="1" applyProtection="1">
      <alignment horizontal="center" vertical="center" wrapText="1"/>
      <protection locked="0"/>
    </xf>
    <xf numFmtId="0" fontId="4" fillId="0" borderId="36" xfId="6" applyFont="1" applyBorder="1" applyAlignment="1" applyProtection="1">
      <alignment horizontal="center" vertical="center" wrapText="1"/>
      <protection locked="0"/>
    </xf>
    <xf numFmtId="179" fontId="13" fillId="0" borderId="33" xfId="6" applyNumberFormat="1" applyFont="1" applyBorder="1" applyAlignment="1" applyProtection="1">
      <alignment horizontal="center" vertical="center" wrapText="1"/>
      <protection locked="0"/>
    </xf>
    <xf numFmtId="180" fontId="13" fillId="0" borderId="34" xfId="1" applyNumberFormat="1" applyFont="1" applyBorder="1" applyAlignment="1">
      <alignment horizontal="center" vertical="center"/>
    </xf>
    <xf numFmtId="179" fontId="13" fillId="0" borderId="37" xfId="1" applyNumberFormat="1" applyFont="1" applyBorder="1" applyAlignment="1" applyProtection="1">
      <alignment horizontal="center" vertical="center"/>
      <protection locked="0"/>
    </xf>
    <xf numFmtId="177" fontId="4" fillId="0" borderId="4" xfId="1" applyNumberFormat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4" fillId="0" borderId="38" xfId="1" applyFont="1" applyBorder="1" applyAlignment="1" applyProtection="1">
      <alignment horizontal="center" vertical="center"/>
      <protection locked="0"/>
    </xf>
    <xf numFmtId="0" fontId="4" fillId="0" borderId="39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18" xfId="6" applyFont="1" applyBorder="1" applyAlignment="1" applyProtection="1">
      <alignment horizontal="left" vertical="center"/>
      <protection locked="0"/>
    </xf>
    <xf numFmtId="0" fontId="4" fillId="0" borderId="40" xfId="6" applyFont="1" applyBorder="1" applyAlignment="1" applyProtection="1">
      <alignment horizontal="left" vertical="center" wrapText="1"/>
      <protection locked="0"/>
    </xf>
    <xf numFmtId="0" fontId="4" fillId="2" borderId="2" xfId="2" applyFont="1" applyFill="1" applyBorder="1" applyAlignment="1" applyProtection="1">
      <alignment horizontal="left" vertical="center" wrapText="1"/>
      <protection locked="0"/>
    </xf>
    <xf numFmtId="0" fontId="6" fillId="2" borderId="36" xfId="2" applyFont="1" applyFill="1" applyBorder="1" applyAlignment="1" applyProtection="1">
      <alignment horizontal="center" vertical="center" wrapText="1"/>
      <protection locked="0"/>
    </xf>
    <xf numFmtId="0" fontId="9" fillId="0" borderId="9" xfId="2" applyFont="1" applyBorder="1" applyAlignment="1"/>
    <xf numFmtId="0" fontId="9" fillId="0" borderId="32" xfId="2" applyFont="1" applyBorder="1" applyAlignment="1"/>
    <xf numFmtId="0" fontId="4" fillId="0" borderId="9" xfId="6" applyFont="1" applyBorder="1" applyAlignment="1" applyProtection="1">
      <alignment horizontal="left" vertical="center"/>
      <protection locked="0"/>
    </xf>
    <xf numFmtId="0" fontId="4" fillId="0" borderId="32" xfId="6" applyFont="1" applyBorder="1" applyAlignment="1" applyProtection="1">
      <alignment horizontal="left" vertical="center" wrapText="1"/>
      <protection locked="0"/>
    </xf>
    <xf numFmtId="0" fontId="13" fillId="0" borderId="33" xfId="6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4" fillId="2" borderId="32" xfId="2" applyFont="1" applyFill="1" applyBorder="1" applyAlignment="1" applyProtection="1">
      <alignment horizontal="left" vertical="center" wrapText="1"/>
      <protection locked="0"/>
    </xf>
    <xf numFmtId="0" fontId="9" fillId="0" borderId="18" xfId="2" applyFont="1" applyBorder="1" applyAlignment="1"/>
    <xf numFmtId="0" fontId="9" fillId="0" borderId="40" xfId="2" applyFont="1" applyBorder="1" applyAlignment="1"/>
    <xf numFmtId="0" fontId="9" fillId="0" borderId="5" xfId="2" applyFont="1" applyBorder="1" applyAlignment="1"/>
    <xf numFmtId="0" fontId="6" fillId="2" borderId="2" xfId="2" applyFont="1" applyFill="1" applyBorder="1" applyAlignment="1" applyProtection="1">
      <alignment horizontal="left" vertical="center" wrapText="1"/>
      <protection locked="0"/>
    </xf>
    <xf numFmtId="0" fontId="4" fillId="2" borderId="21" xfId="2" applyFont="1" applyFill="1" applyBorder="1" applyProtection="1">
      <alignment vertical="center"/>
      <protection locked="0"/>
    </xf>
    <xf numFmtId="0" fontId="6" fillId="2" borderId="0" xfId="1" applyFont="1" applyFill="1"/>
    <xf numFmtId="0" fontId="4" fillId="0" borderId="24" xfId="3" applyFont="1" applyBorder="1" applyAlignment="1">
      <alignment horizontal="left" vertical="center" wrapText="1"/>
    </xf>
    <xf numFmtId="0" fontId="4" fillId="0" borderId="24" xfId="3" applyFont="1" applyBorder="1" applyAlignment="1">
      <alignment horizontal="center" vertical="center" wrapText="1"/>
    </xf>
    <xf numFmtId="176" fontId="4" fillId="0" borderId="24" xfId="3" applyNumberFormat="1" applyFont="1" applyBorder="1" applyAlignment="1">
      <alignment horizontal="center" vertical="center" wrapText="1"/>
    </xf>
    <xf numFmtId="0" fontId="4" fillId="0" borderId="24" xfId="3" applyFont="1" applyBorder="1" applyAlignment="1">
      <alignment horizontal="center" vertical="center" wrapText="1" shrinkToFit="1"/>
    </xf>
    <xf numFmtId="0" fontId="4" fillId="0" borderId="25" xfId="3" applyFont="1" applyBorder="1" applyAlignment="1">
      <alignment horizontal="center" vertical="center" wrapText="1"/>
    </xf>
    <xf numFmtId="2" fontId="13" fillId="0" borderId="26" xfId="4" applyNumberFormat="1" applyFont="1" applyBorder="1" applyAlignment="1">
      <alignment horizontal="center" vertical="center" wrapText="1"/>
    </xf>
    <xf numFmtId="1" fontId="13" fillId="0" borderId="27" xfId="3" applyNumberFormat="1" applyFont="1" applyBorder="1" applyAlignment="1">
      <alignment horizontal="center" vertical="center" wrapText="1"/>
    </xf>
    <xf numFmtId="0" fontId="13" fillId="0" borderId="28" xfId="3" applyFont="1" applyBorder="1" applyAlignment="1">
      <alignment horizontal="center" vertical="center" wrapText="1"/>
    </xf>
    <xf numFmtId="0" fontId="4" fillId="0" borderId="29" xfId="3" applyFont="1" applyBorder="1" applyAlignment="1">
      <alignment horizontal="center" vertical="center" wrapText="1"/>
    </xf>
    <xf numFmtId="0" fontId="4" fillId="0" borderId="28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left" vertical="center" wrapText="1"/>
    </xf>
    <xf numFmtId="0" fontId="4" fillId="0" borderId="4" xfId="3" applyFont="1" applyBorder="1" applyAlignment="1">
      <alignment horizontal="center" vertical="center"/>
    </xf>
    <xf numFmtId="176" fontId="4" fillId="0" borderId="4" xfId="3" applyNumberFormat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 shrinkToFit="1"/>
    </xf>
    <xf numFmtId="0" fontId="4" fillId="0" borderId="18" xfId="3" applyFont="1" applyBorder="1" applyAlignment="1">
      <alignment horizontal="center" vertical="center" wrapText="1"/>
    </xf>
    <xf numFmtId="2" fontId="13" fillId="0" borderId="33" xfId="4" applyNumberFormat="1" applyFont="1" applyBorder="1" applyAlignment="1">
      <alignment horizontal="center" vertical="center"/>
    </xf>
    <xf numFmtId="1" fontId="13" fillId="0" borderId="34" xfId="3" applyNumberFormat="1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 wrapText="1"/>
    </xf>
    <xf numFmtId="0" fontId="4" fillId="0" borderId="35" xfId="3" applyFont="1" applyBorder="1" applyAlignment="1">
      <alignment horizontal="center" vertical="center" wrapText="1"/>
    </xf>
    <xf numFmtId="2" fontId="13" fillId="0" borderId="19" xfId="4" applyNumberFormat="1" applyFont="1" applyBorder="1" applyAlignment="1">
      <alignment horizontal="center" vertical="center"/>
    </xf>
    <xf numFmtId="1" fontId="13" fillId="0" borderId="20" xfId="3" applyNumberFormat="1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left" vertical="center" wrapText="1"/>
    </xf>
    <xf numFmtId="0" fontId="4" fillId="0" borderId="16" xfId="3" applyFont="1" applyBorder="1" applyAlignment="1">
      <alignment horizontal="center" vertical="center"/>
    </xf>
    <xf numFmtId="176" fontId="4" fillId="0" borderId="16" xfId="3" applyNumberFormat="1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 shrinkToFit="1"/>
    </xf>
    <xf numFmtId="0" fontId="4" fillId="0" borderId="9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 wrapText="1"/>
    </xf>
  </cellXfs>
  <cellStyles count="7">
    <cellStyle name="桁区切り 2" xfId="5" xr:uid="{34BD6E12-EF32-4491-ABF6-D3AB488941B6}"/>
    <cellStyle name="標準" xfId="0" builtinId="0"/>
    <cellStyle name="標準 2 2" xfId="1" xr:uid="{10A2A96A-46B6-496A-9C6F-F5E1AAF79C78}"/>
    <cellStyle name="標準 2 3" xfId="3" xr:uid="{E631E552-B465-46CC-8FB9-2289C809CBF1}"/>
    <cellStyle name="標準 4 2" xfId="2" xr:uid="{9F2DC650-8E7F-4911-AE17-0CD6CD416421}"/>
    <cellStyle name="標準 5" xfId="6" xr:uid="{46ED8535-C413-4D59-BAC8-8995DD522917}"/>
    <cellStyle name="標準 99" xfId="4" xr:uid="{BD7ACD39-719F-4B32-BA18-18DE05D1F3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9.xml" Type="http://schemas.openxmlformats.org/officeDocument/2006/relationships/externalLink"/><Relationship Id="rId11" Target="externalLinks/externalLink10.xml" Type="http://schemas.openxmlformats.org/officeDocument/2006/relationships/externalLink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externalLinks/externalLink3.xml" Type="http://schemas.openxmlformats.org/officeDocument/2006/relationships/externalLink"/><Relationship Id="rId5" Target="externalLinks/externalLink4.xml" Type="http://schemas.openxmlformats.org/officeDocument/2006/relationships/externalLink"/><Relationship Id="rId6" Target="externalLinks/externalLink5.xml" Type="http://schemas.openxmlformats.org/officeDocument/2006/relationships/externalLink"/><Relationship Id="rId7" Target="externalLinks/externalLink6.xml" Type="http://schemas.openxmlformats.org/officeDocument/2006/relationships/externalLink"/><Relationship Id="rId8" Target="externalLinks/externalLink7.xml" Type="http://schemas.openxmlformats.org/officeDocument/2006/relationships/externalLink"/><Relationship Id="rId9" Target="externalLinks/externalLink8.xml" Type="http://schemas.openxmlformats.org/officeDocument/2006/relationships/externalLink"/></Relationships>
</file>

<file path=xl/externalLinks/_rels/externalLink1.xml.rels><?xml version="1.0" encoding="UTF-8" standalone="yes"?><Relationships xmlns="http://schemas.openxmlformats.org/package/2006/relationships"><Relationship Id="rId1" Target="file:///C:/Users/NAKAMU~1/AppData/Local/Temp/7zO0271DFC5/&#29123;&#36027;&#20844;&#34920;(&#26085;&#37326;_R8-2&#26376;).xlsx" TargetMode="External" Type="http://schemas.openxmlformats.org/officeDocument/2006/relationships/externalLinkPath"/><Relationship Id="rId2" Target="file:///C:/Users/NAKAMU~1/AppData/Local/Temp/7zO0271DFC5/&#29123;&#36027;&#20844;&#34920;(&#26085;&#37326;_R8-2&#26376;).xlsx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file://///hidocs.ad.hino.co.jp/hidocs/Documents%20and%20Settings/ya.wakugami/Local%20Settings/Temp/DOCUME~1/KITAZA~1/LOCALS~1/Temp/&#65396;&#65437;&#65404;&#65438;&#65437;/LSJ&#26908;&#35342;/LSJ&#36074;&#37327;/LSJ&#12398;&#26908;&#35342;.xls" TargetMode="External" Type="http://schemas.openxmlformats.org/officeDocument/2006/relationships/externalLinkPath"/></Relationships>
</file>

<file path=xl/externalLinks/_rels/externalLink3.xml.rels><?xml version="1.0" encoding="UTF-8" standalone="yes"?><Relationships xmlns="http://schemas.openxmlformats.org/package/2006/relationships"><Relationship Id="rId1" Target="file://///hidocs.ad.hino.co.jp/hidocs/Documents%20and%20Settings/ya.wakugami/Local%20Settings/Temp/DOCUME~1/yos-ohno/LOCALS~1/Temp/&#27531;&#23384;Xls&#20803;&#12487;&#12540;&#12479;&#31561;.xls" TargetMode="External" Type="http://schemas.openxmlformats.org/officeDocument/2006/relationships/externalLinkPath"/></Relationships>
</file>

<file path=xl/externalLinks/_rels/externalLink4.xml.rels><?xml version="1.0" encoding="UTF-8" standalone="yes"?><Relationships xmlns="http://schemas.openxmlformats.org/package/2006/relationships"><Relationship Id="rId1" Target="file://///hidocs.ad.hino.co.jp/hidocs/DOCUME~1/yos-ohno/LOCALS~1/Temp/&#27531;&#23384;Xls&#20803;&#12487;&#12540;&#12479;&#31561;.xls" TargetMode="External" Type="http://schemas.openxmlformats.org/officeDocument/2006/relationships/externalLinkPath"/></Relationships>
</file>

<file path=xl/externalLinks/_rels/externalLink5.xml.rels><?xml version="1.0" encoding="UTF-8" standalone="yes"?><Relationships xmlns="http://schemas.openxmlformats.org/package/2006/relationships"><Relationship Id="rId1" Target="file://///Kyoyo-db/&#35069;&#21697;&#38283;&#30330;&#37096;/windows/TEMP/&#9733;&#9733;&#9733;Y073%20&#65422;&#65438;&#65411;&#65438;&#65392;&#20869;&#22806;&#35069;&#26908;&#35342;&#20381;&#38972;&#31649;&#29702;&#12522;&#12473;&#12488;04.03.021.xls" TargetMode="External" Type="http://schemas.openxmlformats.org/officeDocument/2006/relationships/externalLinkPath"/></Relationships>
</file>

<file path=xl/externalLinks/_rels/externalLink6.xml.rels><?xml version="1.0" encoding="UTF-8" standalone="yes"?><Relationships xmlns="http://schemas.openxmlformats.org/package/2006/relationships"><Relationship Id="rId1" Target="file://///Tmc03fs01/BS/USERS/TCD/FS/FS0402/FS.XLS" TargetMode="External" Type="http://schemas.openxmlformats.org/officeDocument/2006/relationships/externalLinkPath"/></Relationships>
</file>

<file path=xl/externalLinks/_rels/externalLink7.xml.rels><?xml version="1.0" encoding="UTF-8" standalone="yes"?><Relationships xmlns="http://schemas.openxmlformats.org/package/2006/relationships"><Relationship Id="rId1" Target="file://///hidocs.ad.hino.co.jp/hidocs/DOCUME~1/SHIMOM~1/LOCALS~1/Temp/DOCUME~1/yos-ohno/LOCALS~1/Temp/&#27531;&#23384;Xls&#20803;&#12487;&#12540;&#12479;&#31561;.xls" TargetMode="External" Type="http://schemas.openxmlformats.org/officeDocument/2006/relationships/externalLinkPath"/></Relationships>
</file>

<file path=xl/externalLinks/_rels/externalLink8.xml.rels><?xml version="1.0" encoding="UTF-8" standalone="yes"?><Relationships xmlns="http://schemas.openxmlformats.org/package/2006/relationships"><Relationship Id="rId1" Target="file://///XF1/&#35469;&#35388;&#65319;/&#21407;&#30000;/&#20055;&#29992;&#65293;&#29123;&#36027;&#20844;&#34920;&#29992;&#32025;99.8.27.xls" TargetMode="External" Type="http://schemas.openxmlformats.org/officeDocument/2006/relationships/externalLinkPath"/></Relationships>
</file>

<file path=xl/externalLinks/_rels/externalLink9.xml.rels><?xml version="1.0" encoding="UTF-8" standalone="yes"?><Relationships xmlns="http://schemas.openxmlformats.org/package/2006/relationships"><Relationship Id="rId1" Target="file://///H03399/&#35519;&#26619;&#22577;&#21578;/Eudora/Tanaka/attach/P(g%5e.xls" TargetMode="External" Type="http://schemas.openxmlformats.org/officeDocument/2006/relationships/externalLinkPath"/></Relationships>
</file>

<file path=xl/externalLinks/_rels/externalLink10.xml.rels><?xml version="1.0" encoding="UTF-8" standalone="yes"?><Relationships xmlns="http://schemas.openxmlformats.org/package/2006/relationships"><Relationship Id="rId1" Target="file://///H03399/&#24115;&#31080;/eudora/tanaka/attach/&#29123;&#36027;&#20844;&#34920;(&#27083;&#22793;&#12289;&#22269;&#29987;)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3-1"/>
      <sheetName val="3-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諸元まとめ"/>
      <sheetName val="LSJﾌﾞﾛｯｸ変更規模"/>
      <sheetName val="NewJ･LSJ目標値 (2)"/>
      <sheetName val="INUFA全ﾃﾞｰﾀ"/>
      <sheetName val="ﾄﾙｸvs排気量"/>
      <sheetName val="出力vs排気量"/>
      <sheetName val="出力 ﾄﾙｸ"/>
      <sheetName val="ﾎﾞｱ×ｽﾄﾛｰｸ"/>
      <sheetName val="ﾃﾞｯｷﾊｲﾄ"/>
      <sheetName val="ﾎﾞｱﾋﾟｯﾁ"/>
      <sheetName val="ｼﾞｬｰﾅﾙ径"/>
      <sheetName val="ｸﾗﾝｸﾋﾟﾝ径"/>
      <sheetName val="ｵｰﾊﾞﾗｯﾌﾟ"/>
      <sheetName val="ｺﾝﾛｯﾄﾞ中心間距離"/>
      <sheetName val="主要諸元の比較"/>
      <sheetName val="Sheet1"/>
      <sheetName val="ｺｽﾄ目標"/>
      <sheetName val="ｺｽﾄ"/>
      <sheetName val="ﾃﾞｰﾀvs年"/>
      <sheetName val="Sheet4"/>
      <sheetName val="出力排気量vs年"/>
      <sheetName val="ﾄﾙｸ排気量vs年"/>
      <sheetName val="出力vs年"/>
      <sheetName val="ﾄﾙｸvs年"/>
      <sheetName val="Sheet3"/>
      <sheetName val="PE6出力ﾄﾙｸ目標"/>
      <sheetName val="制動力ｸﾞﾗﾌ"/>
      <sheetName val="FR2P&amp;1F&amp;3F比較"/>
      <sheetName val="120P11CVGﾘﾀｰﾀﾞｰ力"/>
      <sheetName val="120P11Cｷﾞﾛﾁﾝ"/>
      <sheetName val="ﾌﾘｸｼｮﾝ図"/>
      <sheetName val="ﾌﾘｸｼｮﾝ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 refreshError="1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設定一覧"/>
      <sheetName val="投資ﾌｫﾛｰ"/>
    </sheetNames>
    <sheetDataSet>
      <sheetData sheetId="0" refreshError="1">
        <row r="38"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管理全リスト "/>
      <sheetName val="管理廃止抜きリスト"/>
      <sheetName val="管理リスト廃止版"/>
      <sheetName val="ポンチ絵発行実績表"/>
      <sheetName val="鈑金コンペ先"/>
      <sheetName val="仕入住原"/>
      <sheetName val="バス"/>
      <sheetName val="（別紙5-1）PP02簡素化"/>
      <sheetName val="sum_gtm"/>
      <sheetName val="選択肢"/>
      <sheetName val="T1"/>
      <sheetName val="諸元まとめ"/>
      <sheetName val="投資ﾌｫﾛｰ"/>
      <sheetName val="ｺｽﾄｾﾝﾀｰ別設備稼働費ﾚｰﾄ算出表"/>
      <sheetName val="076ﾌﾟﾛ 号車仕様表(1,2次試作)"/>
      <sheetName val="管理全リスト_"/>
      <sheetName val="★★★Y073 ﾎﾞﾃﾞｰ内外製検討依頼管理リスト04.03"/>
      <sheetName val="管理全リスト_1"/>
      <sheetName val="076ﾌﾟﾛ_号車仕様表(1,2次試作)"/>
      <sheetName val="★★★Y073_ﾎﾞﾃﾞｰ内外製検討依頼管理リスト04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C2" t="str">
            <v>仕　入　先　住　所　録</v>
          </cell>
        </row>
        <row r="501">
          <cell r="B501">
            <v>5664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Supplier Master IF"/>
      <sheetName val="Net Price Position - Sheet 1"/>
      <sheetName val="LVC 31RB"/>
      <sheetName val="toyota"/>
      <sheetName val="bs_is"/>
      <sheetName val="bs_monthly"/>
      <sheetName val="is_monthly"/>
      <sheetName val="final-graph_"/>
      <sheetName val="final-graph__(2)"/>
      <sheetName val="is_monthly_GTM"/>
      <sheetName val="is_monthly_CVJ"/>
      <sheetName val="is_actual_budget(ignore)"/>
      <sheetName val="is_actual_budget2"/>
      <sheetName val="is_actual_budget_GTM(ignore)"/>
      <sheetName val="is_actual_budget_GTM2"/>
      <sheetName val="is_actual_budget_CVJ(ignore)"/>
      <sheetName val="is_actual_budget_CVJ_2"/>
      <sheetName val="Miyake_1"/>
      <sheetName val="Miyake_2"/>
      <sheetName val="Miyake_3"/>
      <sheetName val="Sheet1_(2)"/>
      <sheetName val="is_actual_budget_CVJ"/>
      <sheetName val="投資ﾌｫﾛｰ"/>
      <sheetName val="仕入住原"/>
      <sheetName val="基本日程"/>
      <sheetName val="日程"/>
      <sheetName val="SCHEDULES"/>
      <sheetName val="画面説明"/>
      <sheetName val="データ①"/>
      <sheetName val="価格"/>
      <sheetName val="FLEET PROVISION"/>
      <sheetName val="??"/>
      <sheetName val="バス"/>
      <sheetName val="FS"/>
      <sheetName val="Attachment"/>
      <sheetName val="（別紙5-1）PP02簡素化"/>
      <sheetName val="AUTO123"/>
      <sheetName val="__"/>
      <sheetName val="セット式"/>
      <sheetName val="6SWRF_W"/>
      <sheetName val="27850"/>
      <sheetName val="諸元まとめ"/>
      <sheetName val="97RAW"/>
      <sheetName val="Book3"/>
      <sheetName val="ヤマトﾓﾆﾀｰ380_20070217_075103_2007"/>
      <sheetName val="現ﾔﾏﾄﾊﾟﾀｰﾝ"/>
      <sheetName val="ﾃﾞｰﾀ  (真)"/>
      <sheetName val="表_数字のみ"/>
      <sheetName val="#REF"/>
      <sheetName val="Pass"/>
      <sheetName val="Sheet3"/>
      <sheetName val="Data"/>
      <sheetName val="Monthly Sales "/>
      <sheetName val="Regional Sales"/>
      <sheetName val="LDT-w Foton"/>
      <sheetName val="MDT-w Foton"/>
      <sheetName val="HDT-w Foton"/>
      <sheetName val="BUS-w Foton"/>
      <sheetName val="Total(Truck &amp; Bus)-w Foton 2019"/>
      <sheetName val="Total(Truck &amp; Bus) w Foton 2018"/>
      <sheetName val="Summary w Foton"/>
      <sheetName val="Monthly Sales per Brand w Foton"/>
      <sheetName val="Monthly Sales Segment w Foton"/>
      <sheetName val="Regional Sales Brand w Foton"/>
      <sheetName val="Regional Sales Segment w Foton"/>
      <sheetName val="03開業BS"/>
      <sheetName val="Overtime Charges"/>
      <sheetName val="B1"/>
      <sheetName val="清单"/>
      <sheetName val="利润表"/>
      <sheetName val="Camera"/>
      <sheetName val="bs_is1"/>
      <sheetName val="bs_monthly1"/>
      <sheetName val="is_monthly1"/>
      <sheetName val="final-graph_1"/>
      <sheetName val="final-graph__(2)1"/>
      <sheetName val="is_monthly_GTM1"/>
      <sheetName val="is_monthly_CVJ1"/>
      <sheetName val="is_actual_budget(ignore)1"/>
      <sheetName val="is_actual_budget21"/>
      <sheetName val="is_actual_budget_GTM(ignore)1"/>
      <sheetName val="is_actual_budget_GTM21"/>
      <sheetName val="is_actual_budget_CVJ(ignore)1"/>
      <sheetName val="is_actual_budget_CVJ_21"/>
      <sheetName val="Miyake_11"/>
      <sheetName val="Miyake_21"/>
      <sheetName val="Miyake_31"/>
      <sheetName val="Sheet1_(2)1"/>
      <sheetName val="is_actual_budget_CVJ1"/>
      <sheetName val="Supplier_Master_IF"/>
      <sheetName val="Net_Price_Position_-_Sheet_1"/>
      <sheetName val="LVC_31RB"/>
      <sheetName val="FLEET_PROVISION"/>
      <sheetName val="A"/>
      <sheetName val="590T並"/>
      <sheetName val="推移"/>
      <sheetName val="検証確認シート"/>
      <sheetName val="Pull down"/>
      <sheetName val="TAM"/>
      <sheetName val="4_AL_CUSTOMER&lt;not_for_print&gt;"/>
      <sheetName val="7_HN_PRODUCTS&lt;not_for_print&gt;"/>
      <sheetName val="5_AL_PRODUCTS&lt;not_for_print&gt;"/>
      <sheetName val="6_HN_CUSTOMER&lt;not_for_print&gt;"/>
      <sheetName val="dyna"/>
      <sheetName val="計画"/>
      <sheetName val="印章"/>
      <sheetName val="BUYOFF 0699"/>
      <sheetName val="Overtime_Charges"/>
      <sheetName val="Pull_down"/>
      <sheetName val="7.CF(Cur)"/>
      <sheetName val="候補部品リスト"/>
      <sheetName val="Sheet14"/>
      <sheetName val="TUNDRA"/>
      <sheetName val="DS "/>
      <sheetName val="395WW売価見積"/>
      <sheetName val="ｺｰﾄﾞ表"/>
      <sheetName val="その他補整の内訳"/>
      <sheetName val="Master"/>
      <sheetName val="บัญชีเครื่องมือวัด_(3)"/>
      <sheetName val="Aug'99 "/>
      <sheetName val="高温放置"/>
      <sheetName val="繰欠"/>
      <sheetName val="Bal_Gr"/>
      <sheetName val="InputRule"/>
      <sheetName val="Total"/>
      <sheetName val="Region (2)"/>
      <sheetName val="Mitsu"/>
      <sheetName val="Nissan"/>
      <sheetName val="Honda"/>
      <sheetName val="Isuzu"/>
      <sheetName val="Ford"/>
      <sheetName val="Mazda"/>
      <sheetName val="GM"/>
      <sheetName val="Suzuki"/>
      <sheetName val="Others"/>
      <sheetName val="Region"/>
      <sheetName val="By maker"/>
      <sheetName val="235W売価見積"/>
      <sheetName val="Target380NX "/>
      <sheetName val="C追加2"/>
      <sheetName val="G追加"/>
      <sheetName val="組立2"/>
      <sheetName val="【資料】730改造投資"/>
      <sheetName val="K"/>
      <sheetName val="N"/>
      <sheetName val="P"/>
      <sheetName val="設変発行予想件数"/>
      <sheetName val="賞与合算"/>
      <sheetName val="bs_is2"/>
      <sheetName val="bs_monthly2"/>
      <sheetName val="is_monthly2"/>
      <sheetName val="final-graph_2"/>
      <sheetName val="final-graph__(2)2"/>
      <sheetName val="is_monthly_GTM2"/>
      <sheetName val="is_monthly_CVJ2"/>
      <sheetName val="is_actual_budget(ignore)2"/>
      <sheetName val="is_actual_budget22"/>
      <sheetName val="is_actual_budget_GTM(ignore)2"/>
      <sheetName val="is_actual_budget_GTM22"/>
      <sheetName val="is_actual_budget_CVJ(ignore)2"/>
      <sheetName val="is_actual_budget_CVJ_22"/>
      <sheetName val="Miyake_12"/>
      <sheetName val="Miyake_22"/>
      <sheetName val="Miyake_32"/>
      <sheetName val="Sheet1_(2)2"/>
      <sheetName val="is_actual_budget_CVJ2"/>
      <sheetName val="Supplier_Master_IF1"/>
      <sheetName val="Net_Price_Position_-_Sheet_11"/>
      <sheetName val="LVC_31RB1"/>
      <sheetName val="FLEET_PROVISION1"/>
      <sheetName val="ﾃﾞｰﾀ__(真)"/>
      <sheetName val="Monthly_Sales_"/>
      <sheetName val="Regional_Sales"/>
      <sheetName val="LDT-w_Foton"/>
      <sheetName val="MDT-w_Foton"/>
      <sheetName val="HDT-w_Foton"/>
      <sheetName val="BUS-w_Foton"/>
      <sheetName val="Total(Truck_&amp;_Bus)-w_Foton_2019"/>
      <sheetName val="Total(Truck_&amp;_Bus)_w_Foton_2018"/>
      <sheetName val="Summary_w_Foton"/>
      <sheetName val="Monthly_Sales_per_Brand_w_Foton"/>
      <sheetName val="Monthly_Sales_Segment_w_Foton"/>
      <sheetName val="Regional_Sales_Brand_w_Foton"/>
      <sheetName val="Regional_Sales_Segment_w_Foton"/>
      <sheetName val="Overtime_Charges1"/>
      <sheetName val="Pull_down1"/>
      <sheetName val="BUYOFF_0699"/>
      <sheetName val="7_CF(Cur)"/>
      <sheetName val="DS_"/>
      <sheetName val="基準ｲﾝﾌﾟｯﾄ"/>
      <sheetName val="残存ｶｰﾌﾞ"/>
      <sheetName val="海外"/>
      <sheetName val="VL"/>
      <sheetName val="TN"/>
      <sheetName val="ND"/>
      <sheetName val="データ"/>
      <sheetName val="データ入力"/>
      <sheetName val="5VZFE"/>
      <sheetName val="Target380NX_"/>
      <sheetName val="PPH1298S"/>
      <sheetName val="HR (2)"/>
      <sheetName val="Financial Statement (Y3)"/>
      <sheetName val="Financial Statement (Y5)"/>
      <sheetName val="Breakeven Analysis Data"/>
      <sheetName val="1. Revenue"/>
      <sheetName val="2. Cost of Renatl"/>
      <sheetName val="2.Admin"/>
      <sheetName val="Financial Statement"/>
      <sheetName val="Tax Calculate"/>
      <sheetName val="HR"/>
      <sheetName val="Tax Calculate (2)"/>
      <sheetName val="10 PLS"/>
      <sheetName val="std110"/>
      <sheetName val="std110_4dr."/>
      <sheetName val="Hidden"/>
      <sheetName val="Orientation"/>
      <sheetName val="Settings"/>
      <sheetName val="保管先所属コード一覧"/>
      <sheetName val="費用処理コード"/>
      <sheetName val="energy usage(new)"/>
      <sheetName val="TD"/>
      <sheetName val="comp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</sheetNames>
    <sheetDataSet>
      <sheetData sheetId="0">
        <row r="20">
          <cell r="CY20">
            <v>5418</v>
          </cell>
          <cell r="DA20">
            <v>4615</v>
          </cell>
        </row>
        <row r="21">
          <cell r="CY21">
            <v>6527</v>
          </cell>
          <cell r="DA21">
            <v>5351</v>
          </cell>
        </row>
        <row r="22">
          <cell r="CY22">
            <v>6502</v>
          </cell>
          <cell r="DA22">
            <v>5780</v>
          </cell>
        </row>
        <row r="23">
          <cell r="CY23">
            <v>6477</v>
          </cell>
          <cell r="DA23">
            <v>6133</v>
          </cell>
        </row>
        <row r="24">
          <cell r="CY24">
            <v>6846</v>
          </cell>
          <cell r="DA24">
            <v>7352</v>
          </cell>
        </row>
        <row r="25">
          <cell r="CY25">
            <v>6826</v>
          </cell>
          <cell r="DA25">
            <v>7497</v>
          </cell>
        </row>
        <row r="26">
          <cell r="CY26">
            <v>6661</v>
          </cell>
          <cell r="DA26">
            <v>8712</v>
          </cell>
        </row>
        <row r="27">
          <cell r="CY27">
            <v>6555</v>
          </cell>
          <cell r="DA27">
            <v>8269</v>
          </cell>
        </row>
        <row r="28">
          <cell r="CY28">
            <v>6164</v>
          </cell>
          <cell r="DA28">
            <v>7507</v>
          </cell>
        </row>
        <row r="29">
          <cell r="CY29">
            <v>5813</v>
          </cell>
          <cell r="DA29">
            <v>6397</v>
          </cell>
        </row>
        <row r="30">
          <cell r="CY30">
            <v>5246</v>
          </cell>
          <cell r="DA30">
            <v>6101</v>
          </cell>
        </row>
        <row r="31">
          <cell r="CY31">
            <v>4815</v>
          </cell>
          <cell r="DA31">
            <v>6246</v>
          </cell>
        </row>
        <row r="32">
          <cell r="CY32">
            <v>4153</v>
          </cell>
          <cell r="DA32">
            <v>6691</v>
          </cell>
        </row>
        <row r="33">
          <cell r="CY33">
            <v>4011</v>
          </cell>
          <cell r="DA33">
            <v>6382</v>
          </cell>
        </row>
        <row r="34">
          <cell r="CY34">
            <v>3713</v>
          </cell>
          <cell r="DA34">
            <v>5583</v>
          </cell>
        </row>
        <row r="35">
          <cell r="CY35">
            <v>3126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Y36">
            <v>2903</v>
          </cell>
          <cell r="DA36">
            <v>5268</v>
          </cell>
        </row>
        <row r="37">
          <cell r="CY37">
            <v>2900</v>
          </cell>
          <cell r="DA37">
            <v>5300</v>
          </cell>
        </row>
        <row r="38">
          <cell r="CY38">
            <v>2900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Y39">
            <v>2900</v>
          </cell>
          <cell r="DA39">
            <v>5300</v>
          </cell>
        </row>
        <row r="40">
          <cell r="CY40">
            <v>2900</v>
          </cell>
          <cell r="DA40">
            <v>5300</v>
          </cell>
        </row>
        <row r="41">
          <cell r="CY41">
            <v>2900</v>
          </cell>
          <cell r="DA41">
            <v>5300</v>
          </cell>
        </row>
        <row r="42">
          <cell r="CY42">
            <v>2900</v>
          </cell>
          <cell r="DA42">
            <v>5300</v>
          </cell>
        </row>
        <row r="43">
          <cell r="CY43">
            <v>2900</v>
          </cell>
          <cell r="DA43">
            <v>5300</v>
          </cell>
        </row>
        <row r="44">
          <cell r="CY44">
            <v>2900</v>
          </cell>
          <cell r="DA44">
            <v>5300</v>
          </cell>
        </row>
        <row r="45">
          <cell r="CY45">
            <v>2900</v>
          </cell>
          <cell r="DA45">
            <v>5300</v>
          </cell>
        </row>
        <row r="46">
          <cell r="CY46">
            <v>2900</v>
          </cell>
          <cell r="DA46">
            <v>5300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－燃費公表用紙99.8.27"/>
      <sheetName val="DATA"/>
      <sheetName val="C3_N DC改造投資"/>
      <sheetName val="CPS Gr分担表"/>
      <sheetName val="Sheet1"/>
    </sheetNames>
    <definedNames>
      <definedName name="Module1.社内配布用印刷"/>
      <definedName name="Module1.提出用印刷"/>
      <definedName name="新型構変選択"/>
      <definedName name="製作者選択"/>
    </defined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・ＲＶ車"/>
      <sheetName val="乗用_ＲＶ車"/>
    </sheetNames>
    <sheetDataSet>
      <sheetData sheetId="0" refreshError="1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燃費公表(構変、国産)"/>
      <sheetName val="ＴＦ関連Ｐｒｊ日程表"/>
      <sheetName val="Sheet1"/>
      <sheetName val="海事局（１０７）"/>
      <sheetName val="航空局（１８）"/>
      <sheetName val="自動車交通局（４７）"/>
      <sheetName val="総合政策局航空局（１）"/>
      <sheetName val="鉄道局（４）"/>
      <sheetName val="ＦＴＲ連結採算"/>
      <sheetName val="VN12-2陣"/>
      <sheetName val="WLTP結果シート"/>
    </sheetNames>
    <definedNames>
      <definedName name="社内配布用印刷"/>
      <definedName name="提出用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4975-B4F1-47FA-A13C-7D210F6F9C11}">
  <sheetPr>
    <pageSetUpPr fitToPage="1"/>
  </sheetPr>
  <dimension ref="A1:AW45"/>
  <sheetViews>
    <sheetView showGridLines="0" tabSelected="1" view="pageBreakPreview" zoomScale="85" zoomScaleNormal="100" zoomScaleSheetLayoutView="85" workbookViewId="0">
      <pane ySplit="8" topLeftCell="A13" activePane="bottomLeft" state="frozenSplit"/>
      <selection activeCell="J35" sqref="J35"/>
      <selection pane="bottomLeft" activeCell="Y14" sqref="Y14"/>
    </sheetView>
  </sheetViews>
  <sheetFormatPr defaultColWidth="8.09765625" defaultRowHeight="10.199999999999999" x14ac:dyDescent="0.2"/>
  <cols>
    <col min="1" max="1" width="14.59765625" style="2" customWidth="1"/>
    <col min="2" max="2" width="4.19921875" style="2" bestFit="1" customWidth="1"/>
    <col min="3" max="3" width="24.19921875" style="2" customWidth="1"/>
    <col min="4" max="4" width="11.5" style="2" bestFit="1" customWidth="1"/>
    <col min="5" max="5" width="7.69921875" style="2" bestFit="1" customWidth="1"/>
    <col min="6" max="6" width="7.59765625" style="2" bestFit="1" customWidth="1"/>
    <col min="7" max="7" width="9.59765625" style="2" bestFit="1" customWidth="1"/>
    <col min="8" max="8" width="9" style="2" bestFit="1" customWidth="1"/>
    <col min="9" max="9" width="11.19921875" style="2" bestFit="1" customWidth="1"/>
    <col min="10" max="10" width="6.296875" style="2" customWidth="1"/>
    <col min="11" max="11" width="8.19921875" style="2" customWidth="1"/>
    <col min="12" max="12" width="10.69921875" style="2" customWidth="1"/>
    <col min="13" max="13" width="8.69921875" style="2" bestFit="1" customWidth="1"/>
    <col min="14" max="14" width="5.5" style="2" customWidth="1"/>
    <col min="15" max="15" width="8.5" style="2" bestFit="1" customWidth="1"/>
    <col min="16" max="16" width="7.59765625" style="2" customWidth="1"/>
    <col min="17" max="17" width="15.296875" style="2" bestFit="1" customWidth="1"/>
    <col min="18" max="18" width="14.59765625" style="2" bestFit="1" customWidth="1"/>
    <col min="19" max="19" width="10.19921875" style="2" bestFit="1" customWidth="1"/>
    <col min="20" max="20" width="8.69921875" style="2" customWidth="1"/>
    <col min="21" max="21" width="11.796875" style="2" bestFit="1" customWidth="1"/>
    <col min="22" max="22" width="9.09765625" style="2" customWidth="1"/>
    <col min="23" max="23" width="8.09765625" style="2"/>
    <col min="24" max="24" width="8.09765625" style="2" hidden="1" customWidth="1"/>
    <col min="25" max="16384" width="8.09765625" style="2"/>
  </cols>
  <sheetData>
    <row r="1" spans="1:49" ht="21" customHeight="1" x14ac:dyDescent="0.2">
      <c r="A1" s="1"/>
    </row>
    <row r="2" spans="1:49" s="3" customFormat="1" ht="15.6" x14ac:dyDescent="0.3">
      <c r="C2" s="4"/>
      <c r="F2" s="5"/>
      <c r="G2" s="5"/>
      <c r="H2" s="5"/>
      <c r="L2" s="6" t="s">
        <v>0</v>
      </c>
      <c r="M2" s="6"/>
      <c r="N2" s="6"/>
      <c r="O2" s="6"/>
      <c r="P2" s="6"/>
      <c r="Q2" s="6"/>
      <c r="R2" s="6"/>
      <c r="S2" s="7" t="s">
        <v>1</v>
      </c>
      <c r="T2" s="8"/>
      <c r="U2" s="8"/>
      <c r="V2" s="8"/>
    </row>
    <row r="3" spans="1:49" s="3" customFormat="1" ht="19.5" customHeight="1" x14ac:dyDescent="0.2">
      <c r="A3" s="9" t="s">
        <v>2</v>
      </c>
      <c r="N3" s="10"/>
      <c r="O3" s="10"/>
      <c r="V3" s="11" t="s">
        <v>3</v>
      </c>
    </row>
    <row r="4" spans="1:49" s="3" customFormat="1" ht="10.8" thickBot="1" x14ac:dyDescent="0.25">
      <c r="A4" s="12" t="s">
        <v>4</v>
      </c>
      <c r="B4" s="12" t="s">
        <v>5</v>
      </c>
      <c r="C4" s="12"/>
      <c r="D4" s="12" t="s">
        <v>6</v>
      </c>
      <c r="E4" s="12" t="s">
        <v>7</v>
      </c>
      <c r="F4" s="12"/>
      <c r="G4" s="12"/>
      <c r="H4" s="12"/>
      <c r="I4" s="13" t="s">
        <v>8</v>
      </c>
      <c r="J4" s="13" t="s">
        <v>9</v>
      </c>
      <c r="K4" s="14" t="s">
        <v>10</v>
      </c>
      <c r="L4" s="14" t="s">
        <v>11</v>
      </c>
      <c r="M4" s="15" t="s">
        <v>12</v>
      </c>
      <c r="N4" s="16" t="s">
        <v>13</v>
      </c>
      <c r="O4" s="17"/>
      <c r="P4" s="18"/>
      <c r="Q4" s="13" t="s">
        <v>14</v>
      </c>
      <c r="R4" s="19" t="s">
        <v>15</v>
      </c>
      <c r="S4" s="19"/>
      <c r="T4" s="19"/>
      <c r="U4" s="20" t="s">
        <v>16</v>
      </c>
      <c r="V4" s="21" t="s">
        <v>17</v>
      </c>
    </row>
    <row r="5" spans="1:49" s="3" customFormat="1" ht="11.25" customHeight="1" x14ac:dyDescent="0.2">
      <c r="A5" s="12"/>
      <c r="B5" s="12"/>
      <c r="C5" s="12"/>
      <c r="D5" s="12"/>
      <c r="E5" s="12"/>
      <c r="F5" s="12"/>
      <c r="G5" s="12"/>
      <c r="H5" s="12"/>
      <c r="I5" s="13"/>
      <c r="J5" s="13"/>
      <c r="K5" s="14"/>
      <c r="L5" s="14"/>
      <c r="M5" s="22"/>
      <c r="N5" s="23" t="s">
        <v>18</v>
      </c>
      <c r="O5" s="24" t="s">
        <v>19</v>
      </c>
      <c r="P5" s="25" t="s">
        <v>20</v>
      </c>
      <c r="Q5" s="13"/>
      <c r="R5" s="19"/>
      <c r="S5" s="19"/>
      <c r="T5" s="19"/>
      <c r="U5" s="26"/>
      <c r="V5" s="27"/>
    </row>
    <row r="6" spans="1:49" s="3" customFormat="1" ht="14.25" customHeight="1" x14ac:dyDescent="0.2">
      <c r="A6" s="12"/>
      <c r="B6" s="12"/>
      <c r="C6" s="12"/>
      <c r="D6" s="12"/>
      <c r="E6" s="12" t="s">
        <v>6</v>
      </c>
      <c r="F6" s="13" t="s">
        <v>21</v>
      </c>
      <c r="G6" s="13" t="s">
        <v>22</v>
      </c>
      <c r="H6" s="13" t="s">
        <v>23</v>
      </c>
      <c r="I6" s="13"/>
      <c r="J6" s="13"/>
      <c r="K6" s="14"/>
      <c r="L6" s="14"/>
      <c r="M6" s="22"/>
      <c r="N6" s="28"/>
      <c r="O6" s="29"/>
      <c r="P6" s="30"/>
      <c r="Q6" s="13"/>
      <c r="R6" s="31" t="s">
        <v>24</v>
      </c>
      <c r="S6" s="32" t="s">
        <v>25</v>
      </c>
      <c r="T6" s="32" t="s">
        <v>26</v>
      </c>
      <c r="U6" s="26"/>
      <c r="V6" s="27"/>
    </row>
    <row r="7" spans="1:49" s="3" customFormat="1" x14ac:dyDescent="0.2">
      <c r="A7" s="12"/>
      <c r="B7" s="12"/>
      <c r="C7" s="12"/>
      <c r="D7" s="12"/>
      <c r="E7" s="12"/>
      <c r="F7" s="12"/>
      <c r="G7" s="12"/>
      <c r="H7" s="12"/>
      <c r="I7" s="13"/>
      <c r="J7" s="13"/>
      <c r="K7" s="14"/>
      <c r="L7" s="14"/>
      <c r="M7" s="22"/>
      <c r="N7" s="28"/>
      <c r="O7" s="29"/>
      <c r="P7" s="30"/>
      <c r="Q7" s="13"/>
      <c r="R7" s="33"/>
      <c r="S7" s="34"/>
      <c r="T7" s="34"/>
      <c r="U7" s="26"/>
      <c r="V7" s="27"/>
    </row>
    <row r="8" spans="1:49" s="3" customFormat="1" x14ac:dyDescent="0.2">
      <c r="A8" s="12"/>
      <c r="B8" s="12"/>
      <c r="C8" s="12"/>
      <c r="D8" s="12"/>
      <c r="E8" s="12"/>
      <c r="F8" s="12"/>
      <c r="G8" s="12"/>
      <c r="H8" s="12"/>
      <c r="I8" s="13"/>
      <c r="J8" s="13"/>
      <c r="K8" s="14"/>
      <c r="L8" s="14"/>
      <c r="M8" s="35"/>
      <c r="N8" s="36"/>
      <c r="O8" s="37"/>
      <c r="P8" s="38"/>
      <c r="Q8" s="13"/>
      <c r="R8" s="39"/>
      <c r="S8" s="40"/>
      <c r="T8" s="40"/>
      <c r="U8" s="41"/>
      <c r="V8" s="42"/>
      <c r="X8" s="43" t="s">
        <v>27</v>
      </c>
    </row>
    <row r="9" spans="1:49" s="50" customFormat="1" ht="24" customHeight="1" x14ac:dyDescent="0.2">
      <c r="A9" s="44" t="s">
        <v>28</v>
      </c>
      <c r="B9" s="45" t="s">
        <v>29</v>
      </c>
      <c r="C9" s="46" t="s">
        <v>30</v>
      </c>
      <c r="D9" s="110" t="s">
        <v>31</v>
      </c>
      <c r="E9" s="111" t="s">
        <v>32</v>
      </c>
      <c r="F9" s="112">
        <v>2.9990000000000001</v>
      </c>
      <c r="G9" s="111">
        <v>414</v>
      </c>
      <c r="H9" s="111">
        <v>108</v>
      </c>
      <c r="I9" s="55" t="s">
        <v>39</v>
      </c>
      <c r="J9" s="111">
        <v>3681</v>
      </c>
      <c r="K9" s="113">
        <v>5276</v>
      </c>
      <c r="L9" s="113">
        <v>29</v>
      </c>
      <c r="M9" s="114" t="s">
        <v>44</v>
      </c>
      <c r="N9" s="115">
        <v>9.59</v>
      </c>
      <c r="O9" s="116">
        <f t="shared" ref="O9:O40" si="0">IF(N9&gt;0,1/N9*37.7*68.6,"")</f>
        <v>269.67883211678833</v>
      </c>
      <c r="P9" s="117">
        <v>9.5399999999999991</v>
      </c>
      <c r="Q9" s="62" t="s">
        <v>41</v>
      </c>
      <c r="R9" s="63" t="s">
        <v>33</v>
      </c>
      <c r="S9" s="111" t="s">
        <v>34</v>
      </c>
      <c r="T9" s="111"/>
      <c r="U9" s="118"/>
      <c r="V9" s="119">
        <f t="shared" ref="V9:V13" si="1">IF(X9&lt;95,"",X9)</f>
        <v>100</v>
      </c>
      <c r="W9" s="47"/>
      <c r="X9" s="48">
        <f t="shared" ref="X9:X40" si="2">IFERROR(ROUNDDOWN(N9/P9*100,0),"")</f>
        <v>100</v>
      </c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</row>
    <row r="10" spans="1:49" s="50" customFormat="1" ht="24" customHeight="1" x14ac:dyDescent="0.2">
      <c r="A10" s="51"/>
      <c r="B10" s="52"/>
      <c r="C10" s="53"/>
      <c r="D10" s="120" t="s">
        <v>35</v>
      </c>
      <c r="E10" s="121" t="s">
        <v>32</v>
      </c>
      <c r="F10" s="122">
        <v>2.9990000000000001</v>
      </c>
      <c r="G10" s="121">
        <v>414</v>
      </c>
      <c r="H10" s="121">
        <v>108</v>
      </c>
      <c r="I10" s="55" t="s">
        <v>39</v>
      </c>
      <c r="J10" s="123">
        <v>3681</v>
      </c>
      <c r="K10" s="124">
        <v>5276</v>
      </c>
      <c r="L10" s="124">
        <v>29</v>
      </c>
      <c r="M10" s="125" t="s">
        <v>44</v>
      </c>
      <c r="N10" s="126">
        <v>9.59</v>
      </c>
      <c r="O10" s="127">
        <f t="shared" si="0"/>
        <v>269.67883211678833</v>
      </c>
      <c r="P10" s="128">
        <v>9.5399999999999991</v>
      </c>
      <c r="Q10" s="62" t="s">
        <v>41</v>
      </c>
      <c r="R10" s="63" t="s">
        <v>33</v>
      </c>
      <c r="S10" s="129" t="s">
        <v>34</v>
      </c>
      <c r="T10" s="129"/>
      <c r="U10" s="130"/>
      <c r="V10" s="131">
        <f t="shared" si="1"/>
        <v>100</v>
      </c>
      <c r="W10" s="49"/>
      <c r="X10" s="48">
        <f t="shared" si="2"/>
        <v>100</v>
      </c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</row>
    <row r="11" spans="1:49" s="50" customFormat="1" ht="24" customHeight="1" x14ac:dyDescent="0.2">
      <c r="A11" s="51"/>
      <c r="B11" s="52"/>
      <c r="C11" s="53"/>
      <c r="D11" s="120" t="s">
        <v>35</v>
      </c>
      <c r="E11" s="121" t="s">
        <v>32</v>
      </c>
      <c r="F11" s="122">
        <v>2.9990000000000001</v>
      </c>
      <c r="G11" s="121">
        <v>452</v>
      </c>
      <c r="H11" s="121">
        <v>123</v>
      </c>
      <c r="I11" s="55" t="s">
        <v>39</v>
      </c>
      <c r="J11" s="123">
        <v>3681</v>
      </c>
      <c r="K11" s="124">
        <v>5276</v>
      </c>
      <c r="L11" s="124">
        <v>29</v>
      </c>
      <c r="M11" s="125" t="s">
        <v>44</v>
      </c>
      <c r="N11" s="132">
        <v>9.58</v>
      </c>
      <c r="O11" s="133">
        <f t="shared" si="0"/>
        <v>269.96033402922757</v>
      </c>
      <c r="P11" s="128">
        <v>9.5399999999999991</v>
      </c>
      <c r="Q11" s="62" t="s">
        <v>41</v>
      </c>
      <c r="R11" s="63" t="s">
        <v>33</v>
      </c>
      <c r="S11" s="129" t="s">
        <v>34</v>
      </c>
      <c r="T11" s="129"/>
      <c r="U11" s="130"/>
      <c r="V11" s="134">
        <f t="shared" si="1"/>
        <v>100</v>
      </c>
      <c r="W11" s="49"/>
      <c r="X11" s="48">
        <f t="shared" si="2"/>
        <v>100</v>
      </c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</row>
    <row r="12" spans="1:49" s="50" customFormat="1" ht="24" customHeight="1" x14ac:dyDescent="0.2">
      <c r="A12" s="51"/>
      <c r="B12" s="52"/>
      <c r="C12" s="53"/>
      <c r="D12" s="120" t="s">
        <v>36</v>
      </c>
      <c r="E12" s="121" t="s">
        <v>32</v>
      </c>
      <c r="F12" s="122">
        <v>2.9990000000000001</v>
      </c>
      <c r="G12" s="121">
        <v>414</v>
      </c>
      <c r="H12" s="121">
        <v>108</v>
      </c>
      <c r="I12" s="55" t="s">
        <v>39</v>
      </c>
      <c r="J12" s="123">
        <v>3681</v>
      </c>
      <c r="K12" s="124">
        <v>5276</v>
      </c>
      <c r="L12" s="124">
        <v>29</v>
      </c>
      <c r="M12" s="125" t="s">
        <v>44</v>
      </c>
      <c r="N12" s="132">
        <v>9.59</v>
      </c>
      <c r="O12" s="133">
        <f t="shared" si="0"/>
        <v>269.67883211678833</v>
      </c>
      <c r="P12" s="128">
        <v>9.5399999999999991</v>
      </c>
      <c r="Q12" s="62" t="s">
        <v>41</v>
      </c>
      <c r="R12" s="63" t="s">
        <v>33</v>
      </c>
      <c r="S12" s="129" t="s">
        <v>34</v>
      </c>
      <c r="T12" s="129"/>
      <c r="U12" s="130"/>
      <c r="V12" s="134">
        <f t="shared" si="1"/>
        <v>100</v>
      </c>
      <c r="W12" s="49"/>
      <c r="X12" s="48">
        <f t="shared" si="2"/>
        <v>100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</row>
    <row r="13" spans="1:49" s="50" customFormat="1" ht="24" customHeight="1" x14ac:dyDescent="0.2">
      <c r="A13" s="51"/>
      <c r="B13" s="52"/>
      <c r="C13" s="53"/>
      <c r="D13" s="135" t="s">
        <v>36</v>
      </c>
      <c r="E13" s="136" t="s">
        <v>32</v>
      </c>
      <c r="F13" s="137">
        <v>2.9990000000000001</v>
      </c>
      <c r="G13" s="136">
        <v>452</v>
      </c>
      <c r="H13" s="136">
        <v>123</v>
      </c>
      <c r="I13" s="55" t="s">
        <v>39</v>
      </c>
      <c r="J13" s="138">
        <v>3681</v>
      </c>
      <c r="K13" s="139">
        <v>5276</v>
      </c>
      <c r="L13" s="139">
        <v>29</v>
      </c>
      <c r="M13" s="140" t="s">
        <v>44</v>
      </c>
      <c r="N13" s="126">
        <v>9.58</v>
      </c>
      <c r="O13" s="127">
        <f t="shared" si="0"/>
        <v>269.96033402922757</v>
      </c>
      <c r="P13" s="141">
        <v>9.5399999999999991</v>
      </c>
      <c r="Q13" s="62" t="s">
        <v>41</v>
      </c>
      <c r="R13" s="63" t="s">
        <v>33</v>
      </c>
      <c r="S13" s="142" t="s">
        <v>34</v>
      </c>
      <c r="T13" s="142"/>
      <c r="U13" s="143"/>
      <c r="V13" s="134">
        <f t="shared" si="1"/>
        <v>100</v>
      </c>
      <c r="W13" s="49"/>
      <c r="X13" s="48">
        <f t="shared" si="2"/>
        <v>100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</row>
    <row r="14" spans="1:49" s="3" customFormat="1" ht="24" customHeight="1" x14ac:dyDescent="0.2">
      <c r="A14" s="44"/>
      <c r="B14" s="45"/>
      <c r="C14" s="46"/>
      <c r="D14" s="54" t="s">
        <v>37</v>
      </c>
      <c r="E14" s="55" t="s">
        <v>38</v>
      </c>
      <c r="F14" s="56">
        <v>2.754</v>
      </c>
      <c r="G14" s="55">
        <v>420</v>
      </c>
      <c r="H14" s="55">
        <v>110</v>
      </c>
      <c r="I14" s="55" t="s">
        <v>39</v>
      </c>
      <c r="J14" s="57">
        <v>3681</v>
      </c>
      <c r="K14" s="57">
        <v>5276</v>
      </c>
      <c r="L14" s="55">
        <v>29</v>
      </c>
      <c r="M14" s="58" t="s">
        <v>40</v>
      </c>
      <c r="N14" s="59">
        <v>8.52</v>
      </c>
      <c r="O14" s="60">
        <f t="shared" si="0"/>
        <v>303.54694835680755</v>
      </c>
      <c r="P14" s="61">
        <v>9.5399999999999991</v>
      </c>
      <c r="Q14" s="62" t="s">
        <v>41</v>
      </c>
      <c r="R14" s="63" t="s">
        <v>33</v>
      </c>
      <c r="S14" s="63" t="s">
        <v>34</v>
      </c>
      <c r="T14" s="63"/>
      <c r="U14" s="64"/>
      <c r="V14" s="65" t="str">
        <f>IF(X14&lt;95,"",X14)</f>
        <v/>
      </c>
      <c r="X14" s="66">
        <f t="shared" si="2"/>
        <v>89</v>
      </c>
    </row>
    <row r="15" spans="1:49" s="3" customFormat="1" ht="24" customHeight="1" x14ac:dyDescent="0.2">
      <c r="A15" s="44"/>
      <c r="B15" s="45"/>
      <c r="C15" s="46"/>
      <c r="D15" s="54" t="s">
        <v>42</v>
      </c>
      <c r="E15" s="55" t="s">
        <v>38</v>
      </c>
      <c r="F15" s="56">
        <v>2.754</v>
      </c>
      <c r="G15" s="55">
        <v>420</v>
      </c>
      <c r="H15" s="55">
        <v>110</v>
      </c>
      <c r="I15" s="55" t="s">
        <v>39</v>
      </c>
      <c r="J15" s="57">
        <v>3681</v>
      </c>
      <c r="K15" s="57">
        <v>5276</v>
      </c>
      <c r="L15" s="55">
        <v>29</v>
      </c>
      <c r="M15" s="58" t="s">
        <v>40</v>
      </c>
      <c r="N15" s="67">
        <v>8.52</v>
      </c>
      <c r="O15" s="68">
        <f t="shared" si="0"/>
        <v>303.54694835680755</v>
      </c>
      <c r="P15" s="61">
        <v>9.5399999999999991</v>
      </c>
      <c r="Q15" s="62" t="s">
        <v>41</v>
      </c>
      <c r="R15" s="63" t="s">
        <v>33</v>
      </c>
      <c r="S15" s="63" t="s">
        <v>34</v>
      </c>
      <c r="T15" s="63"/>
      <c r="U15" s="64"/>
      <c r="V15" s="65" t="str">
        <f t="shared" ref="V15:V40" si="3">IF(X15&lt;95,"",X15)</f>
        <v/>
      </c>
      <c r="X15" s="66">
        <f t="shared" si="2"/>
        <v>89</v>
      </c>
    </row>
    <row r="16" spans="1:49" s="3" customFormat="1" ht="24" customHeight="1" x14ac:dyDescent="0.2">
      <c r="A16" s="44"/>
      <c r="B16" s="69"/>
      <c r="C16" s="70"/>
      <c r="D16" s="54" t="s">
        <v>43</v>
      </c>
      <c r="E16" s="55" t="s">
        <v>38</v>
      </c>
      <c r="F16" s="56">
        <v>2.754</v>
      </c>
      <c r="G16" s="55">
        <v>420</v>
      </c>
      <c r="H16" s="55">
        <v>110</v>
      </c>
      <c r="I16" s="55" t="s">
        <v>39</v>
      </c>
      <c r="J16" s="57">
        <v>3681</v>
      </c>
      <c r="K16" s="57">
        <v>5276</v>
      </c>
      <c r="L16" s="55">
        <v>29</v>
      </c>
      <c r="M16" s="58" t="s">
        <v>44</v>
      </c>
      <c r="N16" s="67">
        <v>8.52</v>
      </c>
      <c r="O16" s="68">
        <f t="shared" si="0"/>
        <v>303.54694835680755</v>
      </c>
      <c r="P16" s="61">
        <v>9.5399999999999991</v>
      </c>
      <c r="Q16" s="62" t="s">
        <v>41</v>
      </c>
      <c r="R16" s="63" t="s">
        <v>33</v>
      </c>
      <c r="S16" s="63" t="s">
        <v>34</v>
      </c>
      <c r="T16" s="63"/>
      <c r="U16" s="64"/>
      <c r="V16" s="65" t="str">
        <f t="shared" si="3"/>
        <v/>
      </c>
      <c r="X16" s="66">
        <f t="shared" si="2"/>
        <v>89</v>
      </c>
    </row>
    <row r="17" spans="1:24" s="3" customFormat="1" ht="24" customHeight="1" x14ac:dyDescent="0.2">
      <c r="A17" s="44"/>
      <c r="B17" s="45"/>
      <c r="C17" s="46" t="s">
        <v>45</v>
      </c>
      <c r="D17" s="54" t="s">
        <v>46</v>
      </c>
      <c r="E17" s="55" t="s">
        <v>47</v>
      </c>
      <c r="F17" s="56">
        <v>5.1929999999999996</v>
      </c>
      <c r="G17" s="55">
        <v>706</v>
      </c>
      <c r="H17" s="55">
        <v>154</v>
      </c>
      <c r="I17" s="55" t="s">
        <v>39</v>
      </c>
      <c r="J17" s="57">
        <v>7901</v>
      </c>
      <c r="K17" s="57">
        <v>11146</v>
      </c>
      <c r="L17" s="55">
        <v>59</v>
      </c>
      <c r="M17" s="58" t="s">
        <v>48</v>
      </c>
      <c r="N17" s="67">
        <v>5.61</v>
      </c>
      <c r="O17" s="68">
        <f t="shared" si="0"/>
        <v>461.00178253119429</v>
      </c>
      <c r="P17" s="61">
        <v>5.8</v>
      </c>
      <c r="Q17" s="62" t="s">
        <v>49</v>
      </c>
      <c r="R17" s="63" t="s">
        <v>50</v>
      </c>
      <c r="S17" s="63" t="s">
        <v>34</v>
      </c>
      <c r="T17" s="63"/>
      <c r="U17" s="64"/>
      <c r="V17" s="65">
        <f t="shared" si="3"/>
        <v>96</v>
      </c>
      <c r="X17" s="66">
        <f t="shared" si="2"/>
        <v>96</v>
      </c>
    </row>
    <row r="18" spans="1:24" s="3" customFormat="1" ht="24" customHeight="1" x14ac:dyDescent="0.2">
      <c r="A18" s="44"/>
      <c r="B18" s="71"/>
      <c r="C18" s="72" t="s">
        <v>51</v>
      </c>
      <c r="D18" s="54" t="s">
        <v>52</v>
      </c>
      <c r="E18" s="55" t="s">
        <v>53</v>
      </c>
      <c r="F18" s="56">
        <v>5.1230000000000002</v>
      </c>
      <c r="G18" s="55">
        <v>530</v>
      </c>
      <c r="H18" s="55">
        <v>132</v>
      </c>
      <c r="I18" s="55" t="s">
        <v>54</v>
      </c>
      <c r="J18" s="57">
        <v>5186</v>
      </c>
      <c r="K18" s="57">
        <v>7331</v>
      </c>
      <c r="L18" s="55">
        <v>39</v>
      </c>
      <c r="M18" s="58" t="s">
        <v>55</v>
      </c>
      <c r="N18" s="73">
        <v>5.91</v>
      </c>
      <c r="O18" s="68">
        <f t="shared" si="0"/>
        <v>437.60067681895094</v>
      </c>
      <c r="P18" s="61">
        <v>7.15</v>
      </c>
      <c r="Q18" s="62" t="s">
        <v>56</v>
      </c>
      <c r="R18" s="63" t="s">
        <v>57</v>
      </c>
      <c r="S18" s="63" t="s">
        <v>34</v>
      </c>
      <c r="T18" s="63"/>
      <c r="U18" s="64"/>
      <c r="V18" s="65" t="str">
        <f t="shared" si="3"/>
        <v/>
      </c>
      <c r="X18" s="66">
        <f t="shared" si="2"/>
        <v>82</v>
      </c>
    </row>
    <row r="19" spans="1:24" s="3" customFormat="1" ht="24" customHeight="1" x14ac:dyDescent="0.2">
      <c r="A19" s="44"/>
      <c r="B19" s="45"/>
      <c r="C19" s="46"/>
      <c r="D19" s="54" t="s">
        <v>58</v>
      </c>
      <c r="E19" s="55" t="s">
        <v>53</v>
      </c>
      <c r="F19" s="56">
        <v>5.1230000000000002</v>
      </c>
      <c r="G19" s="55">
        <v>530</v>
      </c>
      <c r="H19" s="55">
        <v>132</v>
      </c>
      <c r="I19" s="55" t="s">
        <v>54</v>
      </c>
      <c r="J19" s="57">
        <v>5186</v>
      </c>
      <c r="K19" s="57">
        <v>7331</v>
      </c>
      <c r="L19" s="55">
        <v>39</v>
      </c>
      <c r="M19" s="58" t="s">
        <v>55</v>
      </c>
      <c r="N19" s="73">
        <v>5.91</v>
      </c>
      <c r="O19" s="68">
        <f t="shared" si="0"/>
        <v>437.60067681895094</v>
      </c>
      <c r="P19" s="61">
        <v>7.15</v>
      </c>
      <c r="Q19" s="62" t="s">
        <v>56</v>
      </c>
      <c r="R19" s="63" t="s">
        <v>57</v>
      </c>
      <c r="S19" s="63" t="s">
        <v>34</v>
      </c>
      <c r="T19" s="63"/>
      <c r="U19" s="64"/>
      <c r="V19" s="65" t="str">
        <f t="shared" si="3"/>
        <v/>
      </c>
      <c r="X19" s="66">
        <f t="shared" si="2"/>
        <v>82</v>
      </c>
    </row>
    <row r="20" spans="1:24" s="3" customFormat="1" ht="24" customHeight="1" x14ac:dyDescent="0.2">
      <c r="A20" s="44"/>
      <c r="B20" s="45"/>
      <c r="C20" s="46"/>
      <c r="D20" s="54" t="s">
        <v>58</v>
      </c>
      <c r="E20" s="55" t="s">
        <v>53</v>
      </c>
      <c r="F20" s="56">
        <v>5.1230000000000002</v>
      </c>
      <c r="G20" s="55">
        <v>530</v>
      </c>
      <c r="H20" s="55">
        <v>132</v>
      </c>
      <c r="I20" s="55" t="s">
        <v>54</v>
      </c>
      <c r="J20" s="57">
        <v>7837</v>
      </c>
      <c r="K20" s="57">
        <v>9377</v>
      </c>
      <c r="L20" s="55">
        <v>28</v>
      </c>
      <c r="M20" s="58" t="s">
        <v>55</v>
      </c>
      <c r="N20" s="73">
        <v>4.66</v>
      </c>
      <c r="O20" s="68">
        <f t="shared" si="0"/>
        <v>554.98283261802567</v>
      </c>
      <c r="P20" s="61">
        <v>6.3</v>
      </c>
      <c r="Q20" s="62" t="s">
        <v>56</v>
      </c>
      <c r="R20" s="63" t="s">
        <v>57</v>
      </c>
      <c r="S20" s="63" t="s">
        <v>34</v>
      </c>
      <c r="T20" s="63"/>
      <c r="U20" s="64"/>
      <c r="V20" s="65" t="str">
        <f t="shared" si="3"/>
        <v/>
      </c>
      <c r="X20" s="66">
        <f t="shared" si="2"/>
        <v>73</v>
      </c>
    </row>
    <row r="21" spans="1:24" s="90" customFormat="1" ht="24" customHeight="1" x14ac:dyDescent="0.45">
      <c r="A21" s="74"/>
      <c r="B21" s="75"/>
      <c r="C21" s="76" t="s">
        <v>59</v>
      </c>
      <c r="D21" s="77" t="s">
        <v>60</v>
      </c>
      <c r="E21" s="78" t="s">
        <v>61</v>
      </c>
      <c r="F21" s="79">
        <v>5.1230000000000002</v>
      </c>
      <c r="G21" s="78">
        <v>794</v>
      </c>
      <c r="H21" s="78">
        <v>162</v>
      </c>
      <c r="I21" s="78" t="s">
        <v>62</v>
      </c>
      <c r="J21" s="80">
        <v>6608</v>
      </c>
      <c r="K21" s="80">
        <v>9303</v>
      </c>
      <c r="L21" s="78">
        <v>49</v>
      </c>
      <c r="M21" s="81" t="s">
        <v>63</v>
      </c>
      <c r="N21" s="82">
        <v>5.34</v>
      </c>
      <c r="O21" s="83">
        <f t="shared" si="0"/>
        <v>484.31086142322101</v>
      </c>
      <c r="P21" s="84">
        <v>6.37</v>
      </c>
      <c r="Q21" s="85" t="s">
        <v>56</v>
      </c>
      <c r="R21" s="86" t="s">
        <v>50</v>
      </c>
      <c r="S21" s="86" t="s">
        <v>34</v>
      </c>
      <c r="T21" s="87"/>
      <c r="U21" s="88"/>
      <c r="V21" s="89" t="str">
        <f t="shared" si="3"/>
        <v/>
      </c>
      <c r="X21" s="66">
        <f t="shared" si="2"/>
        <v>83</v>
      </c>
    </row>
    <row r="22" spans="1:24" s="90" customFormat="1" ht="24" customHeight="1" x14ac:dyDescent="0.45">
      <c r="A22" s="74"/>
      <c r="B22" s="91"/>
      <c r="C22" s="92"/>
      <c r="D22" s="77" t="s">
        <v>60</v>
      </c>
      <c r="E22" s="78" t="s">
        <v>61</v>
      </c>
      <c r="F22" s="79">
        <v>5.1230000000000002</v>
      </c>
      <c r="G22" s="78">
        <v>794</v>
      </c>
      <c r="H22" s="78">
        <v>162</v>
      </c>
      <c r="I22" s="78" t="s">
        <v>62</v>
      </c>
      <c r="J22" s="80">
        <v>8181</v>
      </c>
      <c r="K22" s="80">
        <v>10381</v>
      </c>
      <c r="L22" s="78">
        <v>40</v>
      </c>
      <c r="M22" s="81" t="s">
        <v>63</v>
      </c>
      <c r="N22" s="82">
        <v>5.18</v>
      </c>
      <c r="O22" s="83">
        <f t="shared" si="0"/>
        <v>499.27027027027026</v>
      </c>
      <c r="P22" s="84">
        <v>6.06</v>
      </c>
      <c r="Q22" s="85" t="s">
        <v>56</v>
      </c>
      <c r="R22" s="86" t="s">
        <v>50</v>
      </c>
      <c r="S22" s="86" t="s">
        <v>34</v>
      </c>
      <c r="T22" s="87"/>
      <c r="U22" s="88"/>
      <c r="V22" s="89" t="str">
        <f t="shared" si="3"/>
        <v/>
      </c>
      <c r="X22" s="66">
        <f t="shared" si="2"/>
        <v>85</v>
      </c>
    </row>
    <row r="23" spans="1:24" s="3" customFormat="1" ht="24" customHeight="1" x14ac:dyDescent="0.2">
      <c r="A23" s="44"/>
      <c r="B23" s="71"/>
      <c r="C23" s="93" t="s">
        <v>64</v>
      </c>
      <c r="D23" s="54" t="s">
        <v>65</v>
      </c>
      <c r="E23" s="55" t="s">
        <v>66</v>
      </c>
      <c r="F23" s="56">
        <v>8.8659999999999997</v>
      </c>
      <c r="G23" s="55">
        <v>1569</v>
      </c>
      <c r="H23" s="55">
        <v>265</v>
      </c>
      <c r="I23" s="55" t="s">
        <v>67</v>
      </c>
      <c r="J23" s="57">
        <v>12296</v>
      </c>
      <c r="K23" s="57">
        <v>15431</v>
      </c>
      <c r="L23" s="55">
        <v>57</v>
      </c>
      <c r="M23" s="58" t="s">
        <v>40</v>
      </c>
      <c r="N23" s="67">
        <v>4.6100000000000003</v>
      </c>
      <c r="O23" s="68">
        <f t="shared" si="0"/>
        <v>561.00216919739694</v>
      </c>
      <c r="P23" s="61">
        <v>5.28</v>
      </c>
      <c r="Q23" s="62" t="s">
        <v>56</v>
      </c>
      <c r="R23" s="63" t="s">
        <v>50</v>
      </c>
      <c r="S23" s="63" t="s">
        <v>34</v>
      </c>
      <c r="T23" s="63"/>
      <c r="U23" s="64"/>
      <c r="V23" s="65" t="str">
        <f t="shared" si="3"/>
        <v/>
      </c>
      <c r="X23" s="66">
        <f t="shared" si="2"/>
        <v>87</v>
      </c>
    </row>
    <row r="24" spans="1:24" s="3" customFormat="1" ht="24" customHeight="1" x14ac:dyDescent="0.2">
      <c r="A24" s="44"/>
      <c r="B24" s="45"/>
      <c r="C24" s="46"/>
      <c r="D24" s="54" t="s">
        <v>65</v>
      </c>
      <c r="E24" s="55" t="s">
        <v>66</v>
      </c>
      <c r="F24" s="56">
        <v>8.8659999999999997</v>
      </c>
      <c r="G24" s="55">
        <v>1569</v>
      </c>
      <c r="H24" s="55">
        <v>265</v>
      </c>
      <c r="I24" s="55" t="s">
        <v>67</v>
      </c>
      <c r="J24" s="57">
        <v>12757</v>
      </c>
      <c r="K24" s="57">
        <v>16112</v>
      </c>
      <c r="L24" s="55">
        <v>61</v>
      </c>
      <c r="M24" s="58" t="s">
        <v>40</v>
      </c>
      <c r="N24" s="67">
        <v>4.47</v>
      </c>
      <c r="O24" s="68">
        <f t="shared" si="0"/>
        <v>578.57270693512305</v>
      </c>
      <c r="P24" s="61">
        <v>5.14</v>
      </c>
      <c r="Q24" s="62" t="s">
        <v>56</v>
      </c>
      <c r="R24" s="63" t="s">
        <v>50</v>
      </c>
      <c r="S24" s="63" t="s">
        <v>34</v>
      </c>
      <c r="T24" s="63"/>
      <c r="U24" s="64"/>
      <c r="V24" s="65" t="str">
        <f t="shared" si="3"/>
        <v/>
      </c>
      <c r="X24" s="66">
        <f t="shared" si="2"/>
        <v>86</v>
      </c>
    </row>
    <row r="25" spans="1:24" s="3" customFormat="1" ht="24" customHeight="1" x14ac:dyDescent="0.2">
      <c r="A25" s="44"/>
      <c r="B25" s="45"/>
      <c r="C25" s="46"/>
      <c r="D25" s="54" t="s">
        <v>65</v>
      </c>
      <c r="E25" s="55" t="s">
        <v>66</v>
      </c>
      <c r="F25" s="56">
        <v>8.8659999999999997</v>
      </c>
      <c r="G25" s="55">
        <v>1569</v>
      </c>
      <c r="H25" s="55">
        <v>265</v>
      </c>
      <c r="I25" s="55" t="s">
        <v>68</v>
      </c>
      <c r="J25" s="57">
        <v>12296</v>
      </c>
      <c r="K25" s="57">
        <v>15431</v>
      </c>
      <c r="L25" s="55">
        <v>57</v>
      </c>
      <c r="M25" s="94" t="s">
        <v>69</v>
      </c>
      <c r="N25" s="67">
        <v>4.49</v>
      </c>
      <c r="O25" s="68">
        <f t="shared" si="0"/>
        <v>575.99554565701555</v>
      </c>
      <c r="P25" s="61">
        <v>5.28</v>
      </c>
      <c r="Q25" s="62" t="s">
        <v>56</v>
      </c>
      <c r="R25" s="63" t="s">
        <v>50</v>
      </c>
      <c r="S25" s="63" t="s">
        <v>34</v>
      </c>
      <c r="T25" s="63"/>
      <c r="U25" s="64"/>
      <c r="V25" s="65" t="str">
        <f t="shared" si="3"/>
        <v/>
      </c>
      <c r="X25" s="66">
        <f t="shared" si="2"/>
        <v>85</v>
      </c>
    </row>
    <row r="26" spans="1:24" s="3" customFormat="1" ht="24" customHeight="1" x14ac:dyDescent="0.25">
      <c r="A26" s="44"/>
      <c r="B26" s="95"/>
      <c r="C26" s="96"/>
      <c r="D26" s="54" t="s">
        <v>65</v>
      </c>
      <c r="E26" s="55" t="s">
        <v>66</v>
      </c>
      <c r="F26" s="56">
        <v>8.8659999999999997</v>
      </c>
      <c r="G26" s="55">
        <v>1569</v>
      </c>
      <c r="H26" s="55">
        <v>265</v>
      </c>
      <c r="I26" s="55" t="s">
        <v>68</v>
      </c>
      <c r="J26" s="57">
        <v>12757</v>
      </c>
      <c r="K26" s="57">
        <v>16112</v>
      </c>
      <c r="L26" s="55">
        <v>61</v>
      </c>
      <c r="M26" s="58" t="s">
        <v>40</v>
      </c>
      <c r="N26" s="67">
        <v>4.3600000000000003</v>
      </c>
      <c r="O26" s="68">
        <f t="shared" si="0"/>
        <v>593.16972477064223</v>
      </c>
      <c r="P26" s="61">
        <v>5.14</v>
      </c>
      <c r="Q26" s="62" t="s">
        <v>56</v>
      </c>
      <c r="R26" s="63" t="s">
        <v>50</v>
      </c>
      <c r="S26" s="63" t="s">
        <v>34</v>
      </c>
      <c r="T26" s="63"/>
      <c r="U26" s="64"/>
      <c r="V26" s="65" t="str">
        <f t="shared" si="3"/>
        <v/>
      </c>
      <c r="X26" s="66">
        <f t="shared" si="2"/>
        <v>84</v>
      </c>
    </row>
    <row r="27" spans="1:24" s="90" customFormat="1" ht="24" customHeight="1" x14ac:dyDescent="0.45">
      <c r="A27" s="74"/>
      <c r="B27" s="97"/>
      <c r="C27" s="98"/>
      <c r="D27" s="77" t="s">
        <v>70</v>
      </c>
      <c r="E27" s="78" t="s">
        <v>61</v>
      </c>
      <c r="F27" s="79">
        <v>5.1230000000000002</v>
      </c>
      <c r="G27" s="78" t="s">
        <v>71</v>
      </c>
      <c r="H27" s="78" t="s">
        <v>72</v>
      </c>
      <c r="I27" s="78" t="s">
        <v>73</v>
      </c>
      <c r="J27" s="80">
        <v>8181</v>
      </c>
      <c r="K27" s="80">
        <v>10381</v>
      </c>
      <c r="L27" s="78">
        <v>40</v>
      </c>
      <c r="M27" s="81" t="s">
        <v>63</v>
      </c>
      <c r="N27" s="82">
        <v>5.66</v>
      </c>
      <c r="O27" s="83">
        <f t="shared" si="0"/>
        <v>456.92932862190816</v>
      </c>
      <c r="P27" s="84">
        <v>6.06</v>
      </c>
      <c r="Q27" s="85" t="s">
        <v>56</v>
      </c>
      <c r="R27" s="86" t="s">
        <v>50</v>
      </c>
      <c r="S27" s="86" t="s">
        <v>34</v>
      </c>
      <c r="T27" s="87"/>
      <c r="U27" s="88"/>
      <c r="V27" s="89" t="str">
        <f t="shared" si="3"/>
        <v/>
      </c>
      <c r="X27" s="66">
        <f t="shared" si="2"/>
        <v>93</v>
      </c>
    </row>
    <row r="28" spans="1:24" s="90" customFormat="1" ht="24" customHeight="1" x14ac:dyDescent="0.45">
      <c r="A28" s="74"/>
      <c r="B28" s="97"/>
      <c r="C28" s="98"/>
      <c r="D28" s="77" t="s">
        <v>70</v>
      </c>
      <c r="E28" s="78" t="s">
        <v>61</v>
      </c>
      <c r="F28" s="79">
        <v>5.1230000000000002</v>
      </c>
      <c r="G28" s="78" t="s">
        <v>71</v>
      </c>
      <c r="H28" s="78" t="s">
        <v>72</v>
      </c>
      <c r="I28" s="78" t="s">
        <v>73</v>
      </c>
      <c r="J28" s="80">
        <v>10198</v>
      </c>
      <c r="K28" s="80">
        <v>13498</v>
      </c>
      <c r="L28" s="78">
        <v>60</v>
      </c>
      <c r="M28" s="81" t="s">
        <v>63</v>
      </c>
      <c r="N28" s="82">
        <v>4.88</v>
      </c>
      <c r="O28" s="83">
        <f t="shared" si="0"/>
        <v>529.96311475409834</v>
      </c>
      <c r="P28" s="84">
        <v>5.29</v>
      </c>
      <c r="Q28" s="85" t="s">
        <v>56</v>
      </c>
      <c r="R28" s="86" t="s">
        <v>50</v>
      </c>
      <c r="S28" s="86" t="s">
        <v>34</v>
      </c>
      <c r="T28" s="87"/>
      <c r="U28" s="88"/>
      <c r="V28" s="89" t="str">
        <f t="shared" si="3"/>
        <v/>
      </c>
      <c r="X28" s="66">
        <f t="shared" si="2"/>
        <v>92</v>
      </c>
    </row>
    <row r="29" spans="1:24" s="101" customFormat="1" ht="24" customHeight="1" x14ac:dyDescent="0.45">
      <c r="A29" s="74"/>
      <c r="B29" s="97"/>
      <c r="C29" s="98"/>
      <c r="D29" s="77" t="s">
        <v>70</v>
      </c>
      <c r="E29" s="78" t="s">
        <v>61</v>
      </c>
      <c r="F29" s="79">
        <v>5.1230000000000002</v>
      </c>
      <c r="G29" s="78" t="s">
        <v>71</v>
      </c>
      <c r="H29" s="78" t="s">
        <v>72</v>
      </c>
      <c r="I29" s="78" t="s">
        <v>73</v>
      </c>
      <c r="J29" s="80">
        <v>8181</v>
      </c>
      <c r="K29" s="80">
        <v>10381</v>
      </c>
      <c r="L29" s="78">
        <v>40</v>
      </c>
      <c r="M29" s="81" t="s">
        <v>63</v>
      </c>
      <c r="N29" s="99">
        <v>5.76</v>
      </c>
      <c r="O29" s="83">
        <f>IF(N29&gt;0,1/N29*37.7*68.6,"")</f>
        <v>448.99652777777777</v>
      </c>
      <c r="P29" s="84">
        <v>6.06</v>
      </c>
      <c r="Q29" s="85" t="s">
        <v>56</v>
      </c>
      <c r="R29" s="86" t="s">
        <v>50</v>
      </c>
      <c r="S29" s="86" t="s">
        <v>34</v>
      </c>
      <c r="T29" s="100" t="s">
        <v>74</v>
      </c>
      <c r="U29" s="88"/>
      <c r="V29" s="89">
        <f>IF(X29&lt;95,"",X29)</f>
        <v>95</v>
      </c>
      <c r="X29" s="102">
        <f>IFERROR(ROUNDDOWN(N29/P29*100,0),"")</f>
        <v>95</v>
      </c>
    </row>
    <row r="30" spans="1:24" s="101" customFormat="1" ht="24" customHeight="1" x14ac:dyDescent="0.45">
      <c r="A30" s="74"/>
      <c r="B30" s="97"/>
      <c r="C30" s="98"/>
      <c r="D30" s="77" t="s">
        <v>70</v>
      </c>
      <c r="E30" s="78" t="s">
        <v>61</v>
      </c>
      <c r="F30" s="79">
        <v>5.1230000000000002</v>
      </c>
      <c r="G30" s="78" t="s">
        <v>71</v>
      </c>
      <c r="H30" s="78" t="s">
        <v>72</v>
      </c>
      <c r="I30" s="78" t="s">
        <v>73</v>
      </c>
      <c r="J30" s="80">
        <v>10198</v>
      </c>
      <c r="K30" s="80">
        <v>13498</v>
      </c>
      <c r="L30" s="78">
        <v>60</v>
      </c>
      <c r="M30" s="81" t="s">
        <v>63</v>
      </c>
      <c r="N30" s="99">
        <v>4.9800000000000004</v>
      </c>
      <c r="O30" s="83">
        <f t="shared" ref="O30" si="4">IF(N30&gt;0,1/N30*37.7*68.6,"")</f>
        <v>519.32128514056217</v>
      </c>
      <c r="P30" s="84">
        <v>5.29</v>
      </c>
      <c r="Q30" s="85" t="s">
        <v>56</v>
      </c>
      <c r="R30" s="86" t="s">
        <v>50</v>
      </c>
      <c r="S30" s="86" t="s">
        <v>34</v>
      </c>
      <c r="T30" s="100" t="s">
        <v>74</v>
      </c>
      <c r="U30" s="88"/>
      <c r="V30" s="89" t="str">
        <f t="shared" ref="V30" si="5">IF(X30&lt;95,"",X30)</f>
        <v/>
      </c>
      <c r="X30" s="102">
        <f t="shared" ref="X30" si="6">IFERROR(ROUNDDOWN(N30/P30*100,0),"")</f>
        <v>94</v>
      </c>
    </row>
    <row r="31" spans="1:24" s="3" customFormat="1" ht="24" customHeight="1" x14ac:dyDescent="0.2">
      <c r="A31" s="44"/>
      <c r="B31" s="71"/>
      <c r="C31" s="72" t="s">
        <v>75</v>
      </c>
      <c r="D31" s="54" t="s">
        <v>76</v>
      </c>
      <c r="E31" s="55" t="s">
        <v>47</v>
      </c>
      <c r="F31" s="56">
        <v>5.1929999999999996</v>
      </c>
      <c r="G31" s="55">
        <v>735</v>
      </c>
      <c r="H31" s="55">
        <v>177</v>
      </c>
      <c r="I31" s="55" t="s">
        <v>77</v>
      </c>
      <c r="J31" s="57">
        <v>8654</v>
      </c>
      <c r="K31" s="57">
        <v>12889</v>
      </c>
      <c r="L31" s="55">
        <v>77</v>
      </c>
      <c r="M31" s="58" t="s">
        <v>48</v>
      </c>
      <c r="N31" s="67">
        <v>5.45</v>
      </c>
      <c r="O31" s="68">
        <f t="shared" si="0"/>
        <v>474.5357798165137</v>
      </c>
      <c r="P31" s="61">
        <v>5.27</v>
      </c>
      <c r="Q31" s="62" t="s">
        <v>49</v>
      </c>
      <c r="R31" s="63" t="s">
        <v>78</v>
      </c>
      <c r="S31" s="63" t="s">
        <v>34</v>
      </c>
      <c r="T31" s="63"/>
      <c r="U31" s="64"/>
      <c r="V31" s="65">
        <f t="shared" si="3"/>
        <v>103</v>
      </c>
      <c r="X31" s="66">
        <f t="shared" si="2"/>
        <v>103</v>
      </c>
    </row>
    <row r="32" spans="1:24" s="3" customFormat="1" ht="24" customHeight="1" x14ac:dyDescent="0.2">
      <c r="A32" s="44"/>
      <c r="B32" s="45"/>
      <c r="C32" s="103"/>
      <c r="D32" s="54" t="s">
        <v>76</v>
      </c>
      <c r="E32" s="55" t="s">
        <v>47</v>
      </c>
      <c r="F32" s="56">
        <v>5.1929999999999996</v>
      </c>
      <c r="G32" s="55">
        <v>735</v>
      </c>
      <c r="H32" s="55">
        <v>177</v>
      </c>
      <c r="I32" s="55" t="s">
        <v>79</v>
      </c>
      <c r="J32" s="57">
        <v>8654</v>
      </c>
      <c r="K32" s="57">
        <v>12889</v>
      </c>
      <c r="L32" s="55">
        <v>77</v>
      </c>
      <c r="M32" s="58" t="s">
        <v>48</v>
      </c>
      <c r="N32" s="67">
        <v>5.35</v>
      </c>
      <c r="O32" s="68">
        <f t="shared" si="0"/>
        <v>483.40560747663557</v>
      </c>
      <c r="P32" s="61">
        <v>5.27</v>
      </c>
      <c r="Q32" s="62" t="s">
        <v>49</v>
      </c>
      <c r="R32" s="63" t="s">
        <v>50</v>
      </c>
      <c r="S32" s="63" t="s">
        <v>34</v>
      </c>
      <c r="T32" s="63"/>
      <c r="U32" s="64"/>
      <c r="V32" s="65">
        <f t="shared" si="3"/>
        <v>101</v>
      </c>
      <c r="X32" s="66">
        <f t="shared" si="2"/>
        <v>101</v>
      </c>
    </row>
    <row r="33" spans="1:24" s="3" customFormat="1" ht="24" customHeight="1" x14ac:dyDescent="0.2">
      <c r="A33" s="44"/>
      <c r="B33" s="45"/>
      <c r="C33" s="103"/>
      <c r="D33" s="54" t="s">
        <v>80</v>
      </c>
      <c r="E33" s="55" t="s">
        <v>47</v>
      </c>
      <c r="F33" s="56">
        <v>5.1929999999999996</v>
      </c>
      <c r="G33" s="55">
        <v>735</v>
      </c>
      <c r="H33" s="55">
        <v>177</v>
      </c>
      <c r="I33" s="55" t="s">
        <v>77</v>
      </c>
      <c r="J33" s="57">
        <v>8654</v>
      </c>
      <c r="K33" s="57">
        <v>12889</v>
      </c>
      <c r="L33" s="55">
        <v>77</v>
      </c>
      <c r="M33" s="58" t="s">
        <v>48</v>
      </c>
      <c r="N33" s="67">
        <v>5.45</v>
      </c>
      <c r="O33" s="68">
        <f t="shared" si="0"/>
        <v>474.5357798165137</v>
      </c>
      <c r="P33" s="61">
        <v>5.27</v>
      </c>
      <c r="Q33" s="62" t="s">
        <v>49</v>
      </c>
      <c r="R33" s="63" t="s">
        <v>50</v>
      </c>
      <c r="S33" s="63" t="s">
        <v>34</v>
      </c>
      <c r="T33" s="63"/>
      <c r="U33" s="64"/>
      <c r="V33" s="65">
        <f t="shared" si="3"/>
        <v>103</v>
      </c>
      <c r="X33" s="66">
        <f t="shared" si="2"/>
        <v>103</v>
      </c>
    </row>
    <row r="34" spans="1:24" s="3" customFormat="1" ht="24" customHeight="1" x14ac:dyDescent="0.25">
      <c r="A34" s="44"/>
      <c r="B34" s="95"/>
      <c r="C34" s="96"/>
      <c r="D34" s="54" t="s">
        <v>80</v>
      </c>
      <c r="E34" s="55" t="s">
        <v>47</v>
      </c>
      <c r="F34" s="56">
        <v>5.1929999999999996</v>
      </c>
      <c r="G34" s="55">
        <v>735</v>
      </c>
      <c r="H34" s="55">
        <v>177</v>
      </c>
      <c r="I34" s="55" t="s">
        <v>79</v>
      </c>
      <c r="J34" s="57">
        <v>8654</v>
      </c>
      <c r="K34" s="57">
        <v>12889</v>
      </c>
      <c r="L34" s="55">
        <v>77</v>
      </c>
      <c r="M34" s="58" t="s">
        <v>48</v>
      </c>
      <c r="N34" s="67">
        <v>5.35</v>
      </c>
      <c r="O34" s="68">
        <f t="shared" si="0"/>
        <v>483.40560747663557</v>
      </c>
      <c r="P34" s="61">
        <v>5.27</v>
      </c>
      <c r="Q34" s="62" t="s">
        <v>49</v>
      </c>
      <c r="R34" s="63" t="s">
        <v>50</v>
      </c>
      <c r="S34" s="63" t="s">
        <v>34</v>
      </c>
      <c r="T34" s="63"/>
      <c r="U34" s="64"/>
      <c r="V34" s="65">
        <f t="shared" si="3"/>
        <v>101</v>
      </c>
      <c r="X34" s="66">
        <f t="shared" si="2"/>
        <v>101</v>
      </c>
    </row>
    <row r="35" spans="1:24" s="3" customFormat="1" ht="24" customHeight="1" x14ac:dyDescent="0.2">
      <c r="A35" s="44"/>
      <c r="B35" s="45"/>
      <c r="C35" s="103"/>
      <c r="D35" s="54" t="s">
        <v>81</v>
      </c>
      <c r="E35" s="55" t="s">
        <v>47</v>
      </c>
      <c r="F35" s="56">
        <v>5.1929999999999996</v>
      </c>
      <c r="G35" s="55">
        <v>735</v>
      </c>
      <c r="H35" s="55">
        <v>177</v>
      </c>
      <c r="I35" s="55" t="s">
        <v>77</v>
      </c>
      <c r="J35" s="57">
        <v>10203</v>
      </c>
      <c r="K35" s="57">
        <v>14548</v>
      </c>
      <c r="L35" s="55">
        <v>79</v>
      </c>
      <c r="M35" s="58" t="s">
        <v>48</v>
      </c>
      <c r="N35" s="67">
        <v>4.9000000000000004</v>
      </c>
      <c r="O35" s="68">
        <f t="shared" si="0"/>
        <v>527.79999999999995</v>
      </c>
      <c r="P35" s="61">
        <v>4.5199999999999996</v>
      </c>
      <c r="Q35" s="62" t="s">
        <v>49</v>
      </c>
      <c r="R35" s="63" t="s">
        <v>50</v>
      </c>
      <c r="S35" s="63" t="s">
        <v>34</v>
      </c>
      <c r="T35" s="63"/>
      <c r="U35" s="64"/>
      <c r="V35" s="65">
        <f t="shared" si="3"/>
        <v>108</v>
      </c>
      <c r="X35" s="66">
        <f t="shared" si="2"/>
        <v>108</v>
      </c>
    </row>
    <row r="36" spans="1:24" s="3" customFormat="1" ht="24" customHeight="1" x14ac:dyDescent="0.2">
      <c r="A36" s="44"/>
      <c r="B36" s="45"/>
      <c r="C36" s="103"/>
      <c r="D36" s="54" t="s">
        <v>82</v>
      </c>
      <c r="E36" s="55" t="s">
        <v>47</v>
      </c>
      <c r="F36" s="56">
        <v>5.1929999999999996</v>
      </c>
      <c r="G36" s="55">
        <v>735</v>
      </c>
      <c r="H36" s="55">
        <v>177</v>
      </c>
      <c r="I36" s="55" t="s">
        <v>77</v>
      </c>
      <c r="J36" s="57">
        <v>10203</v>
      </c>
      <c r="K36" s="57">
        <v>14548</v>
      </c>
      <c r="L36" s="55">
        <v>79</v>
      </c>
      <c r="M36" s="58" t="s">
        <v>48</v>
      </c>
      <c r="N36" s="67">
        <v>4.9000000000000004</v>
      </c>
      <c r="O36" s="68">
        <f t="shared" si="0"/>
        <v>527.79999999999995</v>
      </c>
      <c r="P36" s="61">
        <v>4.5199999999999996</v>
      </c>
      <c r="Q36" s="62" t="s">
        <v>49</v>
      </c>
      <c r="R36" s="63" t="s">
        <v>50</v>
      </c>
      <c r="S36" s="63" t="s">
        <v>34</v>
      </c>
      <c r="T36" s="63"/>
      <c r="U36" s="64"/>
      <c r="V36" s="65">
        <f t="shared" si="3"/>
        <v>108</v>
      </c>
      <c r="X36" s="66">
        <f t="shared" si="2"/>
        <v>108</v>
      </c>
    </row>
    <row r="37" spans="1:24" s="3" customFormat="1" ht="24" customHeight="1" x14ac:dyDescent="0.2">
      <c r="A37" s="44"/>
      <c r="B37" s="45"/>
      <c r="C37" s="103"/>
      <c r="D37" s="54" t="s">
        <v>83</v>
      </c>
      <c r="E37" s="55" t="s">
        <v>47</v>
      </c>
      <c r="F37" s="56">
        <v>5.1929999999999996</v>
      </c>
      <c r="G37" s="55">
        <v>735</v>
      </c>
      <c r="H37" s="55">
        <v>177</v>
      </c>
      <c r="I37" s="55" t="s">
        <v>79</v>
      </c>
      <c r="J37" s="57">
        <v>10203</v>
      </c>
      <c r="K37" s="57">
        <v>14548</v>
      </c>
      <c r="L37" s="55">
        <v>79</v>
      </c>
      <c r="M37" s="58" t="s">
        <v>48</v>
      </c>
      <c r="N37" s="67">
        <v>4.8099999999999996</v>
      </c>
      <c r="O37" s="68">
        <f t="shared" si="0"/>
        <v>537.67567567567573</v>
      </c>
      <c r="P37" s="61">
        <v>4.5199999999999996</v>
      </c>
      <c r="Q37" s="62" t="s">
        <v>49</v>
      </c>
      <c r="R37" s="63" t="s">
        <v>50</v>
      </c>
      <c r="S37" s="63" t="s">
        <v>34</v>
      </c>
      <c r="T37" s="63"/>
      <c r="U37" s="64"/>
      <c r="V37" s="65">
        <f t="shared" si="3"/>
        <v>106</v>
      </c>
      <c r="X37" s="66">
        <f t="shared" si="2"/>
        <v>106</v>
      </c>
    </row>
    <row r="38" spans="1:24" s="3" customFormat="1" ht="24" customHeight="1" x14ac:dyDescent="0.25">
      <c r="A38" s="44"/>
      <c r="B38" s="104"/>
      <c r="C38" s="105"/>
      <c r="D38" s="54" t="s">
        <v>84</v>
      </c>
      <c r="E38" s="55" t="s">
        <v>47</v>
      </c>
      <c r="F38" s="56">
        <v>5.1929999999999996</v>
      </c>
      <c r="G38" s="55">
        <v>735</v>
      </c>
      <c r="H38" s="55">
        <v>177</v>
      </c>
      <c r="I38" s="55" t="s">
        <v>79</v>
      </c>
      <c r="J38" s="57">
        <v>10203</v>
      </c>
      <c r="K38" s="57">
        <v>14548</v>
      </c>
      <c r="L38" s="55">
        <v>79</v>
      </c>
      <c r="M38" s="58" t="s">
        <v>48</v>
      </c>
      <c r="N38" s="67">
        <v>4.8099999999999996</v>
      </c>
      <c r="O38" s="68">
        <f t="shared" si="0"/>
        <v>537.67567567567573</v>
      </c>
      <c r="P38" s="61">
        <v>4.5199999999999996</v>
      </c>
      <c r="Q38" s="62" t="s">
        <v>49</v>
      </c>
      <c r="R38" s="63" t="s">
        <v>50</v>
      </c>
      <c r="S38" s="63" t="s">
        <v>34</v>
      </c>
      <c r="T38" s="63"/>
      <c r="U38" s="64"/>
      <c r="V38" s="65">
        <f t="shared" si="3"/>
        <v>106</v>
      </c>
      <c r="X38" s="66">
        <f t="shared" si="2"/>
        <v>106</v>
      </c>
    </row>
    <row r="39" spans="1:24" s="3" customFormat="1" ht="24" customHeight="1" x14ac:dyDescent="0.25">
      <c r="A39" s="44"/>
      <c r="B39" s="106"/>
      <c r="C39" s="107" t="s">
        <v>85</v>
      </c>
      <c r="D39" s="54" t="s">
        <v>86</v>
      </c>
      <c r="E39" s="55" t="s">
        <v>87</v>
      </c>
      <c r="F39" s="56">
        <v>5.1230000000000002</v>
      </c>
      <c r="G39" s="55">
        <v>882</v>
      </c>
      <c r="H39" s="55">
        <v>191</v>
      </c>
      <c r="I39" s="55" t="s">
        <v>62</v>
      </c>
      <c r="J39" s="57">
        <v>10203</v>
      </c>
      <c r="K39" s="57">
        <v>14548</v>
      </c>
      <c r="L39" s="55">
        <v>79</v>
      </c>
      <c r="M39" s="58" t="s">
        <v>48</v>
      </c>
      <c r="N39" s="67">
        <v>5.38</v>
      </c>
      <c r="O39" s="68">
        <f t="shared" si="0"/>
        <v>480.71003717472121</v>
      </c>
      <c r="P39" s="61">
        <v>4.5199999999999996</v>
      </c>
      <c r="Q39" s="62" t="s">
        <v>88</v>
      </c>
      <c r="R39" s="63" t="s">
        <v>89</v>
      </c>
      <c r="S39" s="63" t="s">
        <v>34</v>
      </c>
      <c r="T39" s="63"/>
      <c r="U39" s="64"/>
      <c r="V39" s="65">
        <f t="shared" si="3"/>
        <v>119</v>
      </c>
      <c r="X39" s="66">
        <f t="shared" si="2"/>
        <v>119</v>
      </c>
    </row>
    <row r="40" spans="1:24" s="3" customFormat="1" ht="24" customHeight="1" x14ac:dyDescent="0.25">
      <c r="A40" s="108"/>
      <c r="B40" s="104"/>
      <c r="C40" s="105"/>
      <c r="D40" s="54" t="s">
        <v>90</v>
      </c>
      <c r="E40" s="55" t="s">
        <v>87</v>
      </c>
      <c r="F40" s="56">
        <v>5.1230000000000002</v>
      </c>
      <c r="G40" s="55">
        <v>882</v>
      </c>
      <c r="H40" s="55">
        <v>191</v>
      </c>
      <c r="I40" s="55" t="s">
        <v>62</v>
      </c>
      <c r="J40" s="57">
        <v>10203</v>
      </c>
      <c r="K40" s="57">
        <v>14548</v>
      </c>
      <c r="L40" s="55">
        <v>79</v>
      </c>
      <c r="M40" s="58" t="s">
        <v>48</v>
      </c>
      <c r="N40" s="67">
        <v>5.38</v>
      </c>
      <c r="O40" s="68">
        <f t="shared" si="0"/>
        <v>480.71003717472121</v>
      </c>
      <c r="P40" s="61">
        <v>4.5199999999999996</v>
      </c>
      <c r="Q40" s="62" t="s">
        <v>88</v>
      </c>
      <c r="R40" s="63" t="s">
        <v>89</v>
      </c>
      <c r="S40" s="63" t="s">
        <v>34</v>
      </c>
      <c r="T40" s="63"/>
      <c r="U40" s="64"/>
      <c r="V40" s="65">
        <f t="shared" si="3"/>
        <v>119</v>
      </c>
      <c r="X40" s="66">
        <f t="shared" si="2"/>
        <v>119</v>
      </c>
    </row>
    <row r="41" spans="1:24" s="3" customFormat="1" x14ac:dyDescent="0.2"/>
    <row r="42" spans="1:24" s="3" customFormat="1" x14ac:dyDescent="0.2">
      <c r="B42" s="3" t="s">
        <v>91</v>
      </c>
    </row>
    <row r="43" spans="1:24" s="3" customFormat="1" x14ac:dyDescent="0.2"/>
    <row r="44" spans="1:24" s="3" customFormat="1" x14ac:dyDescent="0.2">
      <c r="B44" s="109" t="s">
        <v>92</v>
      </c>
    </row>
    <row r="45" spans="1:24" s="3" customFormat="1" x14ac:dyDescent="0.2">
      <c r="B45" s="109" t="s">
        <v>93</v>
      </c>
    </row>
  </sheetData>
  <mergeCells count="25">
    <mergeCell ref="E6:E8"/>
    <mergeCell ref="F6:F8"/>
    <mergeCell ref="G6:G8"/>
    <mergeCell ref="H6:H8"/>
    <mergeCell ref="R6:R8"/>
    <mergeCell ref="S6:S8"/>
    <mergeCell ref="N4:P4"/>
    <mergeCell ref="Q4:Q8"/>
    <mergeCell ref="R4:T5"/>
    <mergeCell ref="U4:U8"/>
    <mergeCell ref="V4:V8"/>
    <mergeCell ref="N5:N8"/>
    <mergeCell ref="O5:O8"/>
    <mergeCell ref="P5:P8"/>
    <mergeCell ref="T6:T8"/>
    <mergeCell ref="S2:V2"/>
    <mergeCell ref="A4:A8"/>
    <mergeCell ref="B4:C8"/>
    <mergeCell ref="D4:D8"/>
    <mergeCell ref="E4:H5"/>
    <mergeCell ref="I4:I8"/>
    <mergeCell ref="J4:J8"/>
    <mergeCell ref="K4:K8"/>
    <mergeCell ref="L4:L8"/>
    <mergeCell ref="M4:M8"/>
  </mergeCells>
  <phoneticPr fontId="3"/>
  <printOptions horizontalCentered="1"/>
  <pageMargins left="0.39370078740157483" right="0.39370078740157483" top="0.39370078740157483" bottom="0.39370078740157483" header="0.19685039370078741" footer="0.39370078740157483"/>
  <pageSetup paperSize="8" scale="82" fitToHeight="0" orientation="landscape" r:id="rId1"/>
  <headerFooter alignWithMargins="0">
    <oddHeader>&amp;R様式3-1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3-1</vt:lpstr>
      <vt:lpstr>'3-1'!Print_Area</vt:lpstr>
      <vt:lpstr>'3-1'!Print_Titles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